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VIP" sheetId="2" r:id="rId5"/>
    <sheet state="visible" name="Não VIP" sheetId="3" r:id="rId6"/>
    <sheet state="visible" name="Tabela dinâmica" sheetId="4" r:id="rId7"/>
    <sheet state="visible" name="Gráficos e Comentários" sheetId="5" r:id="rId8"/>
    <sheet state="visible" name="Relatório" sheetId="6" r:id="rId9"/>
  </sheets>
  <definedNames>
    <definedName hidden="1" localSheetId="0" name="_xlnm._FilterDatabase">Dados!$A$1:$Q$201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CgtCSqeWL1i9Oe0u30b9b2dYlVCIlbz27oJstAnlVaI="/>
    </ext>
  </extLst>
</workbook>
</file>

<file path=xl/sharedStrings.xml><?xml version="1.0" encoding="utf-8"?>
<sst xmlns="http://schemas.openxmlformats.org/spreadsheetml/2006/main" count="1908" uniqueCount="340">
  <si>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</si>
  <si>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</si>
  <si>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</si>
  <si>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</si>
  <si>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</si>
  <si>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</si>
  <si>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</si>
  <si>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</si>
  <si>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</si>
  <si>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</si>
  <si>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Mês</t>
  </si>
  <si>
    <t>Dia</t>
  </si>
  <si>
    <t>Dia da Semana</t>
  </si>
  <si>
    <t>Lucro</t>
  </si>
  <si>
    <t>Gastos</t>
  </si>
  <si>
    <t>ANO/MÊS</t>
  </si>
  <si>
    <t>VIP</t>
  </si>
  <si>
    <t>Ana Luiza Cavalcanti</t>
  </si>
  <si>
    <t>MG</t>
  </si>
  <si>
    <t>Brinquedos</t>
  </si>
  <si>
    <t>Boneca</t>
  </si>
  <si>
    <t>João Lucas Ribeiro</t>
  </si>
  <si>
    <t>RS</t>
  </si>
  <si>
    <t>Móveis</t>
  </si>
  <si>
    <t>Cama</t>
  </si>
  <si>
    <t>Média</t>
  </si>
  <si>
    <t>Ana Luiza Castro</t>
  </si>
  <si>
    <t>PE</t>
  </si>
  <si>
    <t>Alimentos</t>
  </si>
  <si>
    <t>Leite</t>
  </si>
  <si>
    <t>Maria Eduarda da Costa</t>
  </si>
  <si>
    <t>SP</t>
  </si>
  <si>
    <t>Vestuário</t>
  </si>
  <si>
    <t>Calça Jeans</t>
  </si>
  <si>
    <t>Emanuelly Moreira</t>
  </si>
  <si>
    <t>Cadeira</t>
  </si>
  <si>
    <t>Alícia da Cunha</t>
  </si>
  <si>
    <t>RJ</t>
  </si>
  <si>
    <t>Eletrônicos</t>
  </si>
  <si>
    <t>Monitor</t>
  </si>
  <si>
    <t>Alexandre Sales</t>
  </si>
  <si>
    <t>Carrinho</t>
  </si>
  <si>
    <t>Cauê Dias</t>
  </si>
  <si>
    <t>BA</t>
  </si>
  <si>
    <t>Quebra-Cabeça</t>
  </si>
  <si>
    <t>Sra. Lívia Lopes</t>
  </si>
  <si>
    <t>Bola</t>
  </si>
  <si>
    <t>Bárbara Correia</t>
  </si>
  <si>
    <t>Arroz</t>
  </si>
  <si>
    <t>Camila Cardoso</t>
  </si>
  <si>
    <t>Café</t>
  </si>
  <si>
    <t>Sofia Lima</t>
  </si>
  <si>
    <t>Mesa</t>
  </si>
  <si>
    <t>Luiz Henrique Pereira</t>
  </si>
  <si>
    <t>Smartphone</t>
  </si>
  <si>
    <t>Stephany Almeida</t>
  </si>
  <si>
    <t>Camiseta</t>
  </si>
  <si>
    <t>Matheus Cavalcanti</t>
  </si>
  <si>
    <t>Jogo de Tabuleiro</t>
  </si>
  <si>
    <t>Luigi Pires</t>
  </si>
  <si>
    <t>Notebook</t>
  </si>
  <si>
    <t>Maria Julia Almeida</t>
  </si>
  <si>
    <t>Eduarda Teixeira</t>
  </si>
  <si>
    <t>Heloísa Vieira</t>
  </si>
  <si>
    <t>Dr. João Miguel Monteiro</t>
  </si>
  <si>
    <t>PR</t>
  </si>
  <si>
    <t>Tablet</t>
  </si>
  <si>
    <t>Alana Peixoto</t>
  </si>
  <si>
    <t>Fone de Ouvido</t>
  </si>
  <si>
    <t>Dra. Catarina Castro</t>
  </si>
  <si>
    <t>Rafael Jesus</t>
  </si>
  <si>
    <t>Thiago Souza</t>
  </si>
  <si>
    <t>Bernardo Gomes</t>
  </si>
  <si>
    <t>Giovanna Costa</t>
  </si>
  <si>
    <t>Pedro Sales</t>
  </si>
  <si>
    <t>Daniel Nunes</t>
  </si>
  <si>
    <t>Feijão</t>
  </si>
  <si>
    <t>Srta. Alice Martins</t>
  </si>
  <si>
    <t>Jaqueta</t>
  </si>
  <si>
    <t>Ryan Moraes</t>
  </si>
  <si>
    <t>Sofá</t>
  </si>
  <si>
    <t>Vitor Gabriel Aragão</t>
  </si>
  <si>
    <t>Maitê Souza</t>
  </si>
  <si>
    <t>Benício Alves</t>
  </si>
  <si>
    <t>Kaique Peixoto</t>
  </si>
  <si>
    <t>Boné</t>
  </si>
  <si>
    <t>Stephany Rodrigues</t>
  </si>
  <si>
    <t>Gabriel Azevedo</t>
  </si>
  <si>
    <t>Clara Viana</t>
  </si>
  <si>
    <t>Sr. Breno Farias</t>
  </si>
  <si>
    <t>Maria Clara Rodrigues</t>
  </si>
  <si>
    <t>Guilherme da Rocha</t>
  </si>
  <si>
    <t>Dra. Lívia Ferreira</t>
  </si>
  <si>
    <t>Otávio Duarte</t>
  </si>
  <si>
    <t>Emanuel Costela</t>
  </si>
  <si>
    <t>Vitor Ribeiro</t>
  </si>
  <si>
    <t>Maria Clara Caldeira</t>
  </si>
  <si>
    <t>Cauã da Luz</t>
  </si>
  <si>
    <t>Pão</t>
  </si>
  <si>
    <t>Amanda Barbosa</t>
  </si>
  <si>
    <t>Tênis</t>
  </si>
  <si>
    <t>Paulo Mendes</t>
  </si>
  <si>
    <t>Lucca Nascimento</t>
  </si>
  <si>
    <t>Vinicius Fernandes</t>
  </si>
  <si>
    <t>Dr. Henrique Pereira</t>
  </si>
  <si>
    <t>João Felipe Cardoso</t>
  </si>
  <si>
    <t>Vicente Teixeira</t>
  </si>
  <si>
    <t>Sra. Gabriela Moreira</t>
  </si>
  <si>
    <t>Levi Gomes</t>
  </si>
  <si>
    <t>Giovanna Caldeira</t>
  </si>
  <si>
    <t>Renan Nogueira</t>
  </si>
  <si>
    <t>Sra. Ana Laura da Conceição</t>
  </si>
  <si>
    <t>Dr. Thales da Mata</t>
  </si>
  <si>
    <t>Dra. Mariana da Paz</t>
  </si>
  <si>
    <t>Vitor Hugo da Conceição</t>
  </si>
  <si>
    <t>Dr. Caio Viana</t>
  </si>
  <si>
    <t>Emanuella Alves</t>
  </si>
  <si>
    <t>Vitor Gabriel da Paz</t>
  </si>
  <si>
    <t>Sarah Farias</t>
  </si>
  <si>
    <t>Sr. Arthur Silveira</t>
  </si>
  <si>
    <t>Benjamin Duarte</t>
  </si>
  <si>
    <t>Alexandre Novaes</t>
  </si>
  <si>
    <t>Fernando Nascimento</t>
  </si>
  <si>
    <t>Pedro das Neves</t>
  </si>
  <si>
    <t>João Felipe Nunes</t>
  </si>
  <si>
    <t>Estante</t>
  </si>
  <si>
    <t>Marcelo Cardoso</t>
  </si>
  <si>
    <t>Daniela Rocha</t>
  </si>
  <si>
    <t>Rafael Alves</t>
  </si>
  <si>
    <t>Luiza Barbosa</t>
  </si>
  <si>
    <t>Lorena Vieira</t>
  </si>
  <si>
    <t>Ian Santos</t>
  </si>
  <si>
    <t>Rafaela Silva</t>
  </si>
  <si>
    <t>João Vitor da Costa</t>
  </si>
  <si>
    <t>Brenda Monteiro</t>
  </si>
  <si>
    <t>Marcela Rezende</t>
  </si>
  <si>
    <t>Ana Julia Gonçalves</t>
  </si>
  <si>
    <t>Natália da Rosa</t>
  </si>
  <si>
    <t>Sofia Monteiro</t>
  </si>
  <si>
    <t>Ana Beatriz Martins</t>
  </si>
  <si>
    <t>Sr. Igor da Mota</t>
  </si>
  <si>
    <t>Matheus Peixoto</t>
  </si>
  <si>
    <t>Gabrielly Dias</t>
  </si>
  <si>
    <t>Ryan Costa</t>
  </si>
  <si>
    <t>Yuri Almeida</t>
  </si>
  <si>
    <t>Levi Correia</t>
  </si>
  <si>
    <t>Nathan Teixeira</t>
  </si>
  <si>
    <t>Maria Vitória Gonçalves</t>
  </si>
  <si>
    <t>Antônio Gonçalves</t>
  </si>
  <si>
    <t>Renan da Paz</t>
  </si>
  <si>
    <t>Caio Moura</t>
  </si>
  <si>
    <t>Luna Porto</t>
  </si>
  <si>
    <t>Dra. Marina Cavalcanti</t>
  </si>
  <si>
    <t>Lorena Pereira</t>
  </si>
  <si>
    <t>Dra. Brenda Gonçalves</t>
  </si>
  <si>
    <t>Catarina Costa</t>
  </si>
  <si>
    <t>Dr. Caio Silveira</t>
  </si>
  <si>
    <t>Julia Cardoso</t>
  </si>
  <si>
    <t>Mirella Gonçalves</t>
  </si>
  <si>
    <t>Davi Luiz da Cunha</t>
  </si>
  <si>
    <t>Pedro Lucas Cunha</t>
  </si>
  <si>
    <t>Lucca Castro</t>
  </si>
  <si>
    <t>Srta. Brenda Cunha</t>
  </si>
  <si>
    <t>Francisco Monteiro</t>
  </si>
  <si>
    <t>Dr. Cauê Novaes</t>
  </si>
  <si>
    <t>João Vitor da Mota</t>
  </si>
  <si>
    <t>Elisa Ramos</t>
  </si>
  <si>
    <t>Rebeca Moreira</t>
  </si>
  <si>
    <t>Helena Dias</t>
  </si>
  <si>
    <t>Nathan Mendes</t>
  </si>
  <si>
    <t>Ana Clara Costela</t>
  </si>
  <si>
    <t>Carolina Araújo</t>
  </si>
  <si>
    <t>Dra. Pietra Souza</t>
  </si>
  <si>
    <t>Sr. Benício da Cunha</t>
  </si>
  <si>
    <t>Dr. Anthony Pires</t>
  </si>
  <si>
    <t>Dra. Emanuella Gonçalves</t>
  </si>
  <si>
    <t>Sra. Yasmin Freitas</t>
  </si>
  <si>
    <t>Maitê da Cruz</t>
  </si>
  <si>
    <t>Caroline da Paz</t>
  </si>
  <si>
    <t>Lorena Caldeira</t>
  </si>
  <si>
    <t>Carolina Martins</t>
  </si>
  <si>
    <t>Erick Silveira</t>
  </si>
  <si>
    <t>Pedro Henrique das Neves</t>
  </si>
  <si>
    <t>Sra. Maria Alice das Neves</t>
  </si>
  <si>
    <t>Lucca Oliveira</t>
  </si>
  <si>
    <t>Davi Silva</t>
  </si>
  <si>
    <t>Benjamin Alves</t>
  </si>
  <si>
    <t>Ian Pereira</t>
  </si>
  <si>
    <t>Maria Fernanda Jesus</t>
  </si>
  <si>
    <t>João Miguel Melo</t>
  </si>
  <si>
    <t>Luiz Otávio Cavalcanti</t>
  </si>
  <si>
    <t>Augusto Aragão</t>
  </si>
  <si>
    <t>Gustavo Henrique Vieira</t>
  </si>
  <si>
    <t>João Felipe Moura</t>
  </si>
  <si>
    <t>Emanuelly Correia</t>
  </si>
  <si>
    <t>Nicole Fogaça</t>
  </si>
  <si>
    <t>Dr. João Miguel Oliveira</t>
  </si>
  <si>
    <t>André Sales</t>
  </si>
  <si>
    <t>Eduardo Alves</t>
  </si>
  <si>
    <t>Vitória Oliveira</t>
  </si>
  <si>
    <t>Matheus Viana</t>
  </si>
  <si>
    <t>Dr. Vitor Rezende</t>
  </si>
  <si>
    <t>Lucas Teixeira</t>
  </si>
  <si>
    <t>Valentina Ramos</t>
  </si>
  <si>
    <t>Mirella da Cruz</t>
  </si>
  <si>
    <t>Maria Vitória Aragão</t>
  </si>
  <si>
    <t>Thiago Sales</t>
  </si>
  <si>
    <t>Daniela da Costa</t>
  </si>
  <si>
    <t>Luiza Carvalho</t>
  </si>
  <si>
    <t>Srta. Raquel Moura</t>
  </si>
  <si>
    <t>Diogo Cavalcanti</t>
  </si>
  <si>
    <t>Gabrielly Freitas</t>
  </si>
  <si>
    <t>Juan da Mata</t>
  </si>
  <si>
    <t>Ana Júlia Melo</t>
  </si>
  <si>
    <t>Sofia Mendes</t>
  </si>
  <si>
    <t>Isadora Ferreira</t>
  </si>
  <si>
    <t>Raquel Novaes</t>
  </si>
  <si>
    <t>Kaique Gonçalves</t>
  </si>
  <si>
    <t>Alexia Viana</t>
  </si>
  <si>
    <t>João Miguel Pires</t>
  </si>
  <si>
    <t>Vitor Gabriel Moraes</t>
  </si>
  <si>
    <t>Luiz Otávio Silva</t>
  </si>
  <si>
    <t>Lívia Caldeira</t>
  </si>
  <si>
    <t>Thiago Azevedo</t>
  </si>
  <si>
    <t>Dr. Lucas Sales</t>
  </si>
  <si>
    <t>Laís Pires</t>
  </si>
  <si>
    <t>Davi Lucca Cardoso</t>
  </si>
  <si>
    <t>Calebe Araújo</t>
  </si>
  <si>
    <t>Dr. André Cunha</t>
  </si>
  <si>
    <t>Pedro Lucas Barbosa</t>
  </si>
  <si>
    <t>João Pedro Alves</t>
  </si>
  <si>
    <t>Thales Pereira</t>
  </si>
  <si>
    <t>Dr. Yuri da Rocha</t>
  </si>
  <si>
    <t>Sra. Isabella Porto</t>
  </si>
  <si>
    <t>Renan Vieira</t>
  </si>
  <si>
    <t>Cecília Duarte</t>
  </si>
  <si>
    <t>Amanda Costela</t>
  </si>
  <si>
    <t>Maria Sophia Alves</t>
  </si>
  <si>
    <t>Luiz Gustavo Freitas</t>
  </si>
  <si>
    <t>Matheus Caldeira</t>
  </si>
  <si>
    <t>Dr. Ryan Santos</t>
  </si>
  <si>
    <t>Miguel Gonçalves</t>
  </si>
  <si>
    <t>Bianca Fogaça</t>
  </si>
  <si>
    <t>Heitor Cardoso</t>
  </si>
  <si>
    <t>Heloísa da Rosa</t>
  </si>
  <si>
    <t>Matheus Melo</t>
  </si>
  <si>
    <t>Arthur Peixoto</t>
  </si>
  <si>
    <t>Rafaela Vieira</t>
  </si>
  <si>
    <t>André Dias</t>
  </si>
  <si>
    <t>Bárbara Nascimento</t>
  </si>
  <si>
    <t>Nicolas Souza</t>
  </si>
  <si>
    <t>Lucca Melo</t>
  </si>
  <si>
    <t>Milena Cavalcanti</t>
  </si>
  <si>
    <t>Sr. João Felipe Castro</t>
  </si>
  <si>
    <t>SUM de Total da Venda</t>
  </si>
  <si>
    <t>Total geral</t>
  </si>
  <si>
    <t>Não VIP</t>
  </si>
  <si>
    <t>Evolução MENSAL DAS VENDAS</t>
  </si>
  <si>
    <t>2024_12</t>
  </si>
  <si>
    <t>2025_1</t>
  </si>
  <si>
    <t>2025_2</t>
  </si>
  <si>
    <t>2025_3</t>
  </si>
  <si>
    <t>2025_4</t>
  </si>
  <si>
    <t>2025_5</t>
  </si>
  <si>
    <t>2025_6</t>
  </si>
  <si>
    <t>Fevereiro de 2025 foi o mês com melhores vendas, representando o valor mámimo em reais de vendas até então</t>
  </si>
  <si>
    <t>TOTAL DE VENDAS POR MÊS</t>
  </si>
  <si>
    <t>Dezembro de 2024 foi o mês que teve o mínimo de vendas em reais</t>
  </si>
  <si>
    <t>% VENDA POR MÊS R$</t>
  </si>
  <si>
    <t>Junho aparenta ter o menor número de vendas pórem as informações são de apenas 1/3 do mês, ou seja, mês incompleto e não faremos análise mensal</t>
  </si>
  <si>
    <t>SUM de Quantidade</t>
  </si>
  <si>
    <t>Vimos que a quantidade vendida tem pouca relevância com o total vendido em reais, pois a diferença de quantidade entre fev/24 e dez/25 é de apenas 8 unidades</t>
  </si>
  <si>
    <t>% VENDA POR MÊS</t>
  </si>
  <si>
    <t>VALOR MEDIO VENDA</t>
  </si>
  <si>
    <t>MAX-MIN</t>
  </si>
  <si>
    <t>QNT DIF</t>
  </si>
  <si>
    <t>poucos itens representam grande diferença de valor</t>
  </si>
  <si>
    <t>comportamento de venda por grupo</t>
  </si>
  <si>
    <t>Vemos que as categorias que representam maior porcentagem de vendas são alimentos, vestuário e brinquedos</t>
  </si>
  <si>
    <t>Loja com custo unitário alto</t>
  </si>
  <si>
    <t>comportamento de venda por produto</t>
  </si>
  <si>
    <t>%</t>
  </si>
  <si>
    <t>Top 5 produtos mais vendidos</t>
  </si>
  <si>
    <t>% top 5</t>
  </si>
  <si>
    <t>Aparentemente temos relação entre 3 desses produtos: jogos de tabuleiro, mesa e cadeira</t>
  </si>
  <si>
    <t>Jogo de mesa vendem mais</t>
  </si>
  <si>
    <t>venda por estado</t>
  </si>
  <si>
    <t>porcentagem</t>
  </si>
  <si>
    <t>Observamos que o estado com maior valor em reais de vendas é a Bahia, seguida por Pernanbuco e Rio Grande do Sul</t>
  </si>
  <si>
    <t>Os estados do Sudeste ocupam as últimas posições no ranking</t>
  </si>
  <si>
    <t>Indica que temos mais valor de venda nas regiões do Nordeste e Sul, sendo a Sudeste a mais fraca até então</t>
  </si>
  <si>
    <t>% Total da Venda</t>
  </si>
  <si>
    <t>Quantidade de Itens</t>
  </si>
  <si>
    <t>% Quantidade de Itens</t>
  </si>
  <si>
    <t>COUNTA de VIP</t>
  </si>
  <si>
    <t>% vendas vip</t>
  </si>
  <si>
    <t>Ticket médio</t>
  </si>
  <si>
    <t>Os clientes Vip gastam mais que o dobro que os clientes não vip</t>
  </si>
  <si>
    <t>Segmentação de clientes para reter</t>
  </si>
  <si>
    <t>Promoções e sinalizadores diferentes para cada</t>
  </si>
  <si>
    <t>VIPS compram mais na sexta e no sábado, enquanto não vips compram mais sabado e domingo</t>
  </si>
  <si>
    <t>Quarta-feira temos uma queda de vendas em ambos: oportunidade de explorar promoções e cupons para reter mais clientes</t>
  </si>
  <si>
    <t>SUM de Lucro</t>
  </si>
  <si>
    <t>Crescimento(%)</t>
  </si>
  <si>
    <t xml:space="preserve"> </t>
  </si>
  <si>
    <t>Análise Inicial</t>
  </si>
  <si>
    <t xml:space="preserve">Pontos Identificados: </t>
  </si>
  <si>
    <t>Vendas Mensais</t>
  </si>
  <si>
    <t xml:space="preserve">Em comparação com Dezembro de 2024 tivemos crescimento no valor total de vendas em reais. Sendo Dezembro de 2024 o mês com o menor valor de vendas (R$ 190.309,99). Se comparado com o mês em que tivemos maior valor, Fevereiro de 2025 (R$ 315.849,32), observamos um aumento de 65,96%. </t>
  </si>
  <si>
    <t>Entretanto ao olharmos o número de itens vendidos, podemos notar um aumento pouco siginificativo, sendo Dezembro com 182 itens vendidos e Fevereiro com 190. Uma diferença de 8 itens, o que representa um crescimento de apenas 4,40% de itens vendidos.</t>
  </si>
  <si>
    <t>Quantidade de Itens Vendidos</t>
  </si>
  <si>
    <t>A variação de produtos e categorias vendidos ao longo dos meses contribuiu bastante para a composição de valores. Além de indicar que a loja pode ter produtos com valores unitários altos, em que uma pequena diferença de quantidades itens comprados acarreta em uma grande diferença  no valor vendido.</t>
  </si>
  <si>
    <t>É importante mencionar que há limitações quanto a análise do mês de Junho pois o mês está incompleto com vendas até dia 10 apenas e, portanto, não podemos fazer uma análise definitiva desse mês. As vendas para junho estão representadas apenas por 1/3 do mês, o que pode distorcer a comparação com outros meses. Além disso, os dados utilizados não incluem informações sobre devoluções de produtos, o que pode afetar a exatidão dos totais de vendas.</t>
  </si>
  <si>
    <t>Crescimento % das Vendas por Mês</t>
  </si>
  <si>
    <t>Podemos observar que no início de 2025 tivemos um bom crescimento, o que pode indicar sucesso em campanhas de ano novo, volta as aulas ou até mesmo sazionalidade das vendas. Já durante o meio do ano tivemos uma queda</t>
  </si>
  <si>
    <t>Vendas por Categoria e Produto</t>
  </si>
  <si>
    <t>Percebemos que as categorias que representam o maior percentual de venda são os alimentos e vestuário.</t>
  </si>
  <si>
    <t>Dos produtos vendidos, temos cinco que se destacaram como maior  valor em reais. Sendo que três deles podem ter relação de compra, devido ao contexto: jogos de tabuleiro, mesa e cadeira podem ser comprados juntos.</t>
  </si>
  <si>
    <t>Entre os 25 produtos vendidos na empresa 5 deles representam juntos 31,9% das vendas totais.</t>
  </si>
  <si>
    <t>Vendas por Região</t>
  </si>
  <si>
    <t>Observamos que a loja tem valores de venda mais expressivos nas regiões do Nordeste e Sul. Enquanto os estados do Sudeste são o com menor valor e vendas, sendo que os três  juntos representam apenas 32,17% do total de vendas.</t>
  </si>
  <si>
    <t>Vendas por Classificação de Cliente</t>
  </si>
  <si>
    <t>Com o olhar voltado para os clientes observamos, que seu ticket médio é R$ 8.412,65. A partir disso, os clientes foram classificados em duas categorias: Vip e Não Vip, em que VIP são aqueles que gastam valores iguais ou superior a R$ 10.000,00. Foi possível observar que os clientes VIP gastam mais que o dobro dos clientes não VIP, representam  70,25% e 29,75% respectivamente.</t>
  </si>
  <si>
    <t xml:space="preserve">Os clientes VIP possuem ticket médio de R$ R$ 16.191,27, enquanto os Não Vip R$ 3.941,47. Uma diferença de R$ 12.249,80. Olhando para quantidade de vendas realizadas pelos clientes, observa-se que os Não VIP representam 63,5% das vendas realizadas no periodo.                                                          </t>
  </si>
  <si>
    <t>Ao observar a quantidade de itens não há diferença significativa, enquanto os Vip compraram 588 itens (50,65%) os Não Vips compraram 573 itens (49,35%).</t>
  </si>
  <si>
    <t>Logo é importante analisarmos estratégias diferentes para ambas as categorias, afim de reter e conquistar ambos.</t>
  </si>
  <si>
    <t>Os clientes VIP tem desvio padrão de R$ 4.481,03 enquanto os Não VIP tem de R$ 2.754,50.</t>
  </si>
  <si>
    <t>Vendas por Dias da Semana</t>
  </si>
  <si>
    <t>Quanto aos dias com maior rendimento de vendas podemos notar que entre os clientes não VIP os dias mais populares de compra são sabado e domigo, enquanto para o VIPs se destava a sexta e o sábado. Ambos os clientes não costumam comprar as quartas.</t>
  </si>
  <si>
    <t>Lucro por Categoria e Categoria</t>
  </si>
  <si>
    <t>Os valores de lucro e gastos são derivados de uma premissa padrão (40% para lucro e 10% para gasto), com o objetivo de realizar o exercício de cálculos financeiros. Esses números não representam a variação real de mercado, mas são importantes para ilustrar a margem e a rentabilidade com base no que foi fornecido no exercício.</t>
  </si>
  <si>
    <t>Total de Lucro</t>
  </si>
  <si>
    <t>Podemos observar que o lucro total no periodo foi de R$ 673.011,75. Houve diferença de R$ 40.773,68 de lucro entre o produto com maior e menor lucro.</t>
  </si>
  <si>
    <t>Oportunidades:</t>
  </si>
  <si>
    <t>A partir dos pontos identificados podemos perceber algumas oportunidades, como:</t>
  </si>
  <si>
    <t>- Investir em maior variabilidade de itens da catgoria Alimentação e Vestuário que dão maor lucro</t>
  </si>
  <si>
    <t>- Investir em mais propagandas e relações entre itens de categorias que não temos tantas vendas afim de aumentar o mesmo, como por exemplo: promoção do dias das crianças em que levando uma peça de roupa o brinquedo sai com x% de desconto</t>
  </si>
  <si>
    <t>- Ações na região Nordeste afim de verificar a tendência de compra e replicar isso para outras regiões com estratégias de marketing e venda personalizadas</t>
  </si>
  <si>
    <t>- Cupons de desconto, cashback e propagandas diferenciadas para cada tipo de cliente afim de atrair novos cliente e reter e fidelizar os antigos</t>
  </si>
  <si>
    <t>- Incentivo online/fisico com cupons e cahsback na quarta-dfeira dia ou até menos um potencial dia de folga.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</si>
</sst>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"/>
    <numFmt numFmtId="166" formatCode="_([$R$ -416]* #,##0.00_);_([$R$ -416]* \(#,##0.00\);_([$R$ -416]* &quot;-&quot;??_);_(@_)"/>
    <numFmt numFmtId="167" formatCode="[$R$ -416]#,##0.00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sz val="16.0"/>
      <color theme="1"/>
      <name val="Calibri"/>
      <scheme val="minor"/>
    </font>
    <font>
      <b/>
      <sz val="18.0"/>
      <color theme="1"/>
      <name val="Arial"/>
    </font>
    <font>
      <b/>
      <sz val="17.0"/>
      <color theme="1"/>
      <name val="Calibri"/>
      <scheme val="minor"/>
    </font>
    <font>
      <b/>
      <sz val="16.0"/>
      <color theme="1"/>
      <name val="Calibri"/>
    </font>
    <font>
      <i/>
      <sz val="11.0"/>
      <color theme="1"/>
      <name val="Calibri"/>
    </font>
    <font>
      <sz val="11.0"/>
      <color rgb="FFFFFFFF"/>
      <name val="Calibri"/>
    </font>
    <font>
      <sz val="16.0"/>
      <color theme="1"/>
      <name val="Calibri"/>
    </font>
    <font>
      <b/>
      <sz val="14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883A4"/>
        <bgColor rgb="FF6883A4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D9E0E8"/>
        <bgColor rgb="FFD9E0E8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ck">
        <color rgb="FF6883A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3" xfId="0" applyAlignment="1" applyFont="1" applyNumberForma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 shrinkToFit="0" vertical="top" wrapText="0"/>
    </xf>
    <xf borderId="0" fillId="0" fontId="1" numFmtId="166" xfId="0" applyAlignment="1" applyFont="1" applyNumberFormat="1">
      <alignment horizontal="center" readingOrder="0" shrinkToFit="0" vertical="top" wrapText="0"/>
    </xf>
    <xf borderId="0" fillId="0" fontId="1" numFmtId="167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164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167" xfId="0" applyFont="1" applyNumberFormat="1"/>
    <xf borderId="0" fillId="0" fontId="3" numFmtId="164" xfId="0" applyFont="1" applyNumberFormat="1"/>
    <xf borderId="0" fillId="0" fontId="3" numFmtId="3" xfId="0" applyFont="1" applyNumberFormat="1"/>
    <xf borderId="0" fillId="0" fontId="3" numFmtId="49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2" numFmtId="167" xfId="0" applyAlignment="1" applyFont="1" applyNumberFormat="1">
      <alignment vertical="bottom"/>
    </xf>
    <xf borderId="0" fillId="0" fontId="3" numFmtId="167" xfId="0" applyFont="1" applyNumberFormat="1"/>
    <xf borderId="0" fillId="0" fontId="4" numFmtId="167" xfId="0" applyFont="1" applyNumberFormat="1"/>
    <xf borderId="0" fillId="0" fontId="4" numFmtId="0" xfId="0" applyFont="1"/>
    <xf borderId="0" fillId="2" fontId="5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horizontal="center"/>
    </xf>
    <xf borderId="0" fillId="0" fontId="4" numFmtId="165" xfId="0" applyFont="1" applyNumberForma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3" fontId="4" numFmtId="0" xfId="0" applyFill="1" applyFont="1"/>
    <xf borderId="0" fillId="4" fontId="4" numFmtId="167" xfId="0" applyFill="1" applyFont="1" applyNumberFormat="1"/>
    <xf borderId="0" fillId="5" fontId="4" numFmtId="167" xfId="0" applyFill="1" applyFont="1" applyNumberFormat="1"/>
    <xf borderId="0" fillId="3" fontId="4" numFmtId="0" xfId="0" applyAlignment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49" xfId="0" applyFont="1" applyNumberFormat="1"/>
    <xf borderId="0" fillId="6" fontId="4" numFmtId="167" xfId="0" applyFill="1" applyFont="1" applyNumberFormat="1"/>
    <xf borderId="0" fillId="2" fontId="5" numFmtId="0" xfId="0" applyAlignment="1" applyFont="1">
      <alignment horizontal="center"/>
    </xf>
    <xf borderId="0" fillId="0" fontId="4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1"/>
    </xf>
    <xf borderId="0" fillId="7" fontId="2" numFmtId="0" xfId="0" applyAlignment="1" applyFill="1" applyFont="1">
      <alignment vertical="bottom"/>
    </xf>
    <xf borderId="0" fillId="7" fontId="10" numFmtId="0" xfId="0" applyAlignment="1" applyFont="1">
      <alignment vertical="bottom"/>
    </xf>
    <xf borderId="1" fillId="2" fontId="11" numFmtId="0" xfId="0" applyAlignment="1" applyBorder="1" applyFont="1">
      <alignment vertical="bottom"/>
    </xf>
    <xf borderId="2" fillId="2" fontId="11" numFmtId="0" xfId="0" applyAlignment="1" applyBorder="1" applyFont="1">
      <alignment vertical="bottom"/>
    </xf>
    <xf borderId="0" fillId="8" fontId="2" numFmtId="0" xfId="0" applyAlignment="1" applyFill="1" applyFont="1">
      <alignment vertical="bottom"/>
    </xf>
    <xf borderId="3" fillId="9" fontId="2" numFmtId="165" xfId="0" applyAlignment="1" applyBorder="1" applyFill="1" applyFont="1" applyNumberFormat="1">
      <alignment horizontal="right" vertical="bottom"/>
    </xf>
    <xf borderId="4" fillId="9" fontId="2" numFmtId="165" xfId="0" applyAlignment="1" applyBorder="1" applyFont="1" applyNumberFormat="1">
      <alignment horizontal="right" vertical="bottom"/>
    </xf>
    <xf borderId="0" fillId="0" fontId="1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5" fillId="7" fontId="10" numFmtId="49" xfId="0" applyAlignment="1" applyBorder="1" applyFont="1" applyNumberFormat="1">
      <alignment vertical="bottom"/>
    </xf>
    <xf borderId="0" fillId="8" fontId="2" numFmtId="49" xfId="0" applyAlignment="1" applyFont="1" applyNumberFormat="1">
      <alignment vertical="bottom"/>
    </xf>
    <xf borderId="6" fillId="9" fontId="2" numFmtId="165" xfId="0" applyAlignment="1" applyBorder="1" applyFont="1" applyNumberFormat="1">
      <alignment horizontal="right" vertical="bottom"/>
    </xf>
    <xf borderId="7" fillId="9" fontId="2" numFmtId="165" xfId="0" applyAlignment="1" applyBorder="1" applyFont="1" applyNumberFormat="1">
      <alignment horizontal="right" vertical="bottom"/>
    </xf>
    <xf borderId="8" fillId="7" fontId="1" numFmtId="0" xfId="0" applyAlignment="1" applyBorder="1" applyFont="1">
      <alignment vertical="bottom"/>
    </xf>
    <xf borderId="8" fillId="7" fontId="1" numFmtId="165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ão VI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Vendas por dia da Semana por Classificação de Cliente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dinâmica'!$B$3:$H$3</c:f>
              <c:numCache/>
            </c:numRef>
          </c:val>
        </c:ser>
        <c:ser>
          <c:idx val="1"/>
          <c:order val="1"/>
          <c:tx>
            <c:strRef>
              <c:f>'Tabela dinâmica'!$A$4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dinâmica'!$B$4:$H$4</c:f>
              <c:numCache/>
            </c:numRef>
          </c:val>
        </c:ser>
        <c:axId val="55736415"/>
        <c:axId val="278678000"/>
      </c:barChart>
      <c:catAx>
        <c:axId val="5573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678000"/>
      </c:catAx>
      <c:valAx>
        <c:axId val="278678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36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de Venda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Dez/24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Comentários'!$B$4</c:f>
              <c:numCache/>
            </c:numRef>
          </c:val>
        </c:ser>
        <c:ser>
          <c:idx val="1"/>
          <c:order val="1"/>
          <c:tx>
            <c:v>Jan/25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Comentários'!$C$4</c:f>
              <c:numCache/>
            </c:numRef>
          </c:val>
        </c:ser>
        <c:ser>
          <c:idx val="2"/>
          <c:order val="2"/>
          <c:tx>
            <c:v>Fev/25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Comentários'!$D$4</c:f>
              <c:numCache/>
            </c:numRef>
          </c:val>
        </c:ser>
        <c:ser>
          <c:idx val="3"/>
          <c:order val="3"/>
          <c:tx>
            <c:v>Mar/25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Comentários'!$E$4</c:f>
              <c:numCache/>
            </c:numRef>
          </c:val>
        </c:ser>
        <c:ser>
          <c:idx val="4"/>
          <c:order val="4"/>
          <c:tx>
            <c:v>Abr/25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Comentários'!$F$4</c:f>
              <c:numCache/>
            </c:numRef>
          </c:val>
        </c:ser>
        <c:ser>
          <c:idx val="5"/>
          <c:order val="5"/>
          <c:tx>
            <c:v>Mai/25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Comentários'!$G$4</c:f>
              <c:numCache/>
            </c:numRef>
          </c:val>
        </c:ser>
        <c:ser>
          <c:idx val="6"/>
          <c:order val="6"/>
          <c:tx>
            <c:v>Jun/25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Comentários'!$H$4</c:f>
              <c:numCache/>
            </c:numRef>
          </c:val>
        </c:ser>
        <c:axId val="366687170"/>
        <c:axId val="1633891883"/>
      </c:barChart>
      <c:catAx>
        <c:axId val="366687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891883"/>
      </c:catAx>
      <c:valAx>
        <c:axId val="1633891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>
                    <a:solidFill>
                      <a:srgbClr val="000000"/>
                    </a:solidFill>
                    <a:latin typeface="Roboto"/>
                  </a:rPr>
                  <a:t>Total de Vendas(R$)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687170"/>
      </c:valAx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Total da Venda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'Gráficos e Comentários'!$B$14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00FF00"/>
              </a:solidFill>
            </c:spPr>
          </c:dPt>
          <c:dPt>
            <c:idx val="4"/>
            <c:spPr>
              <a:solidFill>
                <a:srgbClr val="00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Comentários'!$A$15:$A$19</c:f>
            </c:strRef>
          </c:cat>
          <c:val>
            <c:numRef>
              <c:f>'Gráficos e Comentários'!$B$15:$B$19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da Venda por Produto - Top 5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'Gráficos e Comentários'!$B$23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Comentários'!$A$24:$A$28</c:f>
            </c:strRef>
          </c:cat>
          <c:val>
            <c:numRef>
              <c:f>'Gráficos e Comentários'!$B$24:$B$28</c:f>
              <c:numCache/>
            </c:numRef>
          </c:val>
        </c:ser>
        <c:overlap val="100"/>
        <c:axId val="2139383618"/>
        <c:axId val="674595022"/>
      </c:barChart>
      <c:catAx>
        <c:axId val="21393836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595022"/>
      </c:catAx>
      <c:valAx>
        <c:axId val="6745950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3836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Total da Venda por 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 e Comentários'!$B$53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Comentários'!$A$54:$A$60</c:f>
            </c:strRef>
          </c:cat>
          <c:val>
            <c:numRef>
              <c:f>'Gráficos e Comentários'!$B$54:$B$60</c:f>
              <c:numCache/>
            </c:numRef>
          </c:val>
        </c:ser>
        <c:axId val="1753996645"/>
        <c:axId val="1859760607"/>
      </c:barChart>
      <c:catAx>
        <c:axId val="17539966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760607"/>
      </c:catAx>
      <c:valAx>
        <c:axId val="1859760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9966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de Vendas por tipo de Cliente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Comentários'!$A$66:$A$67</c:f>
            </c:strRef>
          </c:cat>
          <c:val>
            <c:numRef>
              <c:f>'Gráficos e Comentários'!$B$66:$B$67</c:f>
              <c:numCache/>
            </c:numRef>
          </c:val>
        </c:ser>
        <c:axId val="1457612543"/>
        <c:axId val="854480762"/>
      </c:barChart>
      <c:catAx>
        <c:axId val="145761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480762"/>
      </c:catAx>
      <c:valAx>
        <c:axId val="854480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612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% da Venda por Produto - Top 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'Gráficos e Comentários'!$C$23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Comentários'!$A$24:$A$28</c:f>
            </c:strRef>
          </c:cat>
          <c:val>
            <c:numRef>
              <c:f>'Gráficos e Comentários'!$C$24:$C$28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% Valor Vendido para Categoria de Clientes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Comentários'!$A$65:$A$67</c:f>
            </c:strRef>
          </c:cat>
          <c:val>
            <c:numRef>
              <c:f>'Gráficos e Comentários'!$C$65:$C$67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Crescimento(%)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dinâmica'!$A$2:$A$8</c:f>
            </c:strRef>
          </c:cat>
          <c:val>
            <c:numRef>
              <c:f>'Tabela dinâmica'!$C$2:$C$8</c:f>
              <c:numCache/>
            </c:numRef>
          </c:val>
        </c:ser>
        <c:axId val="576530121"/>
        <c:axId val="259364236"/>
      </c:barChart>
      <c:catAx>
        <c:axId val="576530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364236"/>
      </c:catAx>
      <c:valAx>
        <c:axId val="25936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Crescimento(%)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530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Vendas por dia da Semana por Classificação de Cliente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dinâmica'!$B$3:$H$3</c:f>
              <c:numCache/>
            </c:numRef>
          </c:val>
        </c:ser>
        <c:ser>
          <c:idx val="1"/>
          <c:order val="1"/>
          <c:tx>
            <c:strRef>
              <c:f>'Tabela dinâmica'!$A$4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dinâmica'!$B$4:$H$4</c:f>
              <c:numCache/>
            </c:numRef>
          </c:val>
        </c:ser>
        <c:axId val="1121416014"/>
        <c:axId val="1548642284"/>
      </c:barChart>
      <c:catAx>
        <c:axId val="1121416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642284"/>
      </c:catAx>
      <c:valAx>
        <c:axId val="1548642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416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de Venda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Dez/24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Comentários'!$B$4</c:f>
              <c:numCache/>
            </c:numRef>
          </c:val>
        </c:ser>
        <c:ser>
          <c:idx val="1"/>
          <c:order val="1"/>
          <c:tx>
            <c:v>Jan/25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Comentários'!$C$4</c:f>
              <c:numCache/>
            </c:numRef>
          </c:val>
        </c:ser>
        <c:ser>
          <c:idx val="2"/>
          <c:order val="2"/>
          <c:tx>
            <c:v>Fev/25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Comentários'!$D$4</c:f>
              <c:numCache/>
            </c:numRef>
          </c:val>
        </c:ser>
        <c:ser>
          <c:idx val="3"/>
          <c:order val="3"/>
          <c:tx>
            <c:v>Mar/25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Comentários'!$E$4</c:f>
              <c:numCache/>
            </c:numRef>
          </c:val>
        </c:ser>
        <c:ser>
          <c:idx val="4"/>
          <c:order val="4"/>
          <c:tx>
            <c:v>Abr/25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Comentários'!$F$4</c:f>
              <c:numCache/>
            </c:numRef>
          </c:val>
        </c:ser>
        <c:ser>
          <c:idx val="5"/>
          <c:order val="5"/>
          <c:tx>
            <c:v>Mai/25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Comentários'!$G$4</c:f>
              <c:numCache/>
            </c:numRef>
          </c:val>
        </c:ser>
        <c:ser>
          <c:idx val="6"/>
          <c:order val="6"/>
          <c:tx>
            <c:v>Jun/25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'Gráficos e Comentários'!$H$4</c:f>
              <c:numCache/>
            </c:numRef>
          </c:val>
        </c:ser>
        <c:axId val="178977162"/>
        <c:axId val="862549480"/>
      </c:barChart>
      <c:catAx>
        <c:axId val="178977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549480"/>
      </c:catAx>
      <c:valAx>
        <c:axId val="86254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>
                    <a:solidFill>
                      <a:srgbClr val="000000"/>
                    </a:solidFill>
                    <a:latin typeface="Roboto"/>
                  </a:rPr>
                  <a:t>Total de Vendas(R$)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77162"/>
      </c:valAx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Total da Venda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'Gráficos e Comentários'!$B$14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00FF00"/>
              </a:solidFill>
            </c:spPr>
          </c:dPt>
          <c:dPt>
            <c:idx val="4"/>
            <c:spPr>
              <a:solidFill>
                <a:srgbClr val="00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Comentários'!$A$15:$A$19</c:f>
            </c:strRef>
          </c:cat>
          <c:val>
            <c:numRef>
              <c:f>'Gráficos e Comentários'!$B$15:$B$19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da Venda por Produto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'Gráficos e Comentários'!$B$23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Comentários'!$A$24:$A$28</c:f>
            </c:strRef>
          </c:cat>
          <c:val>
            <c:numRef>
              <c:f>'Gráficos e Comentários'!$B$24:$B$28</c:f>
              <c:numCache/>
            </c:numRef>
          </c:val>
        </c:ser>
        <c:overlap val="100"/>
        <c:axId val="1657189074"/>
        <c:axId val="850331683"/>
      </c:barChart>
      <c:catAx>
        <c:axId val="1657189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331683"/>
      </c:catAx>
      <c:valAx>
        <c:axId val="8503316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1890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Total da Venda por 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 e Comentários'!$B$53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Comentários'!$A$54:$A$60</c:f>
            </c:strRef>
          </c:cat>
          <c:val>
            <c:numRef>
              <c:f>'Gráficos e Comentários'!$B$54:$B$60</c:f>
              <c:numCache/>
            </c:numRef>
          </c:val>
        </c:ser>
        <c:axId val="1242592779"/>
        <c:axId val="1910099808"/>
      </c:barChart>
      <c:catAx>
        <c:axId val="1242592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099808"/>
      </c:catAx>
      <c:valAx>
        <c:axId val="1910099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5927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de Vendas por tipo de Cliente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 e Comentários'!$A$66:$A$67</c:f>
            </c:strRef>
          </c:cat>
          <c:val>
            <c:numRef>
              <c:f>'Gráficos e Comentários'!$B$66:$B$67</c:f>
              <c:numCache/>
            </c:numRef>
          </c:val>
        </c:ser>
        <c:axId val="2134943919"/>
        <c:axId val="158653032"/>
      </c:barChart>
      <c:catAx>
        <c:axId val="213494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53032"/>
      </c:catAx>
      <c:valAx>
        <c:axId val="158653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943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% da Venda por Produto - Top 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'Gráficos e Comentários'!$C$23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Comentários'!$A$24:$A$28</c:f>
            </c:strRef>
          </c:cat>
          <c:val>
            <c:numRef>
              <c:f>'Gráficos e Comentários'!$C$24:$C$28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% Valor Vendido para Categoria de Clientes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 e Comentários'!$A$65:$A$67</c:f>
            </c:strRef>
          </c:cat>
          <c:val>
            <c:numRef>
              <c:f>'Gráficos e Comentários'!$C$65:$C$67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Crescimento(%)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dinâmica'!$A$2:$A$8</c:f>
            </c:strRef>
          </c:cat>
          <c:val>
            <c:numRef>
              <c:f>'Tabela dinâmica'!$C$2:$C$8</c:f>
              <c:numCache/>
            </c:numRef>
          </c:val>
        </c:ser>
        <c:axId val="2078846967"/>
        <c:axId val="1984457413"/>
      </c:barChart>
      <c:catAx>
        <c:axId val="2078846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457413"/>
      </c:catAx>
      <c:valAx>
        <c:axId val="1984457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Crescimento(%)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846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Vendas por dia da Semana por Classificação de Cliente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dinâmica'!$B$3:$H$3</c:f>
              <c:numCache/>
            </c:numRef>
          </c:val>
        </c:ser>
        <c:ser>
          <c:idx val="1"/>
          <c:order val="1"/>
          <c:tx>
            <c:strRef>
              <c:f>'Tabela dinâmica'!$A$4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dinâmica'!$B$2:$H$2</c:f>
            </c:strRef>
          </c:cat>
          <c:val>
            <c:numRef>
              <c:f>'Tabela dinâmica'!$B$4:$H$4</c:f>
              <c:numCache/>
            </c:numRef>
          </c:val>
        </c:ser>
        <c:axId val="1424301735"/>
        <c:axId val="2085396510"/>
      </c:barChart>
      <c:catAx>
        <c:axId val="1424301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396510"/>
      </c:catAx>
      <c:valAx>
        <c:axId val="2085396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301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9</xdr:row>
      <xdr:rowOff>171450</xdr:rowOff>
    </xdr:from>
    <xdr:ext cx="5715000" cy="3533775"/>
    <xdr:graphicFrame>
      <xdr:nvGraphicFramePr>
        <xdr:cNvPr id="92686088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0</xdr:row>
      <xdr:rowOff>66675</xdr:rowOff>
    </xdr:from>
    <xdr:ext cx="3600450" cy="2276475"/>
    <xdr:graphicFrame>
      <xdr:nvGraphicFramePr>
        <xdr:cNvPr id="206891912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142875</xdr:colOff>
      <xdr:row>12</xdr:row>
      <xdr:rowOff>190500</xdr:rowOff>
    </xdr:from>
    <xdr:ext cx="3276600" cy="1476375"/>
    <xdr:graphicFrame>
      <xdr:nvGraphicFramePr>
        <xdr:cNvPr id="181207123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27</xdr:row>
      <xdr:rowOff>19050</xdr:rowOff>
    </xdr:from>
    <xdr:ext cx="5686425" cy="3514725"/>
    <xdr:graphicFrame>
      <xdr:nvGraphicFramePr>
        <xdr:cNvPr id="14929891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38100</xdr:colOff>
      <xdr:row>52</xdr:row>
      <xdr:rowOff>28575</xdr:rowOff>
    </xdr:from>
    <xdr:ext cx="2981325" cy="1628775"/>
    <xdr:graphicFrame>
      <xdr:nvGraphicFramePr>
        <xdr:cNvPr id="667119827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809625</xdr:colOff>
      <xdr:row>54</xdr:row>
      <xdr:rowOff>57150</xdr:rowOff>
    </xdr:from>
    <xdr:ext cx="4010025" cy="1476375"/>
    <xdr:graphicFrame>
      <xdr:nvGraphicFramePr>
        <xdr:cNvPr id="2626655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609600</xdr:colOff>
      <xdr:row>25</xdr:row>
      <xdr:rowOff>152400</xdr:rowOff>
    </xdr:from>
    <xdr:ext cx="5715000" cy="3533775"/>
    <xdr:graphicFrame>
      <xdr:nvGraphicFramePr>
        <xdr:cNvPr id="71849673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809625</xdr:colOff>
      <xdr:row>62</xdr:row>
      <xdr:rowOff>47625</xdr:rowOff>
    </xdr:from>
    <xdr:ext cx="5114925" cy="1724025"/>
    <xdr:graphicFrame>
      <xdr:nvGraphicFramePr>
        <xdr:cNvPr id="1434829630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161925</xdr:colOff>
      <xdr:row>111</xdr:row>
      <xdr:rowOff>161925</xdr:rowOff>
    </xdr:from>
    <xdr:ext cx="5715000" cy="3533775"/>
    <xdr:graphicFrame>
      <xdr:nvGraphicFramePr>
        <xdr:cNvPr id="1925738400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762000</xdr:colOff>
      <xdr:row>74</xdr:row>
      <xdr:rowOff>171450</xdr:rowOff>
    </xdr:from>
    <xdr:ext cx="5715000" cy="3533775"/>
    <xdr:graphicFrame>
      <xdr:nvGraphicFramePr>
        <xdr:cNvPr id="368042055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85725</xdr:rowOff>
    </xdr:from>
    <xdr:ext cx="9544050" cy="2552700"/>
    <xdr:graphicFrame>
      <xdr:nvGraphicFramePr>
        <xdr:cNvPr id="405952378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54</xdr:row>
      <xdr:rowOff>85725</xdr:rowOff>
    </xdr:from>
    <xdr:ext cx="9277350" cy="2495550"/>
    <xdr:graphicFrame>
      <xdr:nvGraphicFramePr>
        <xdr:cNvPr id="1923184746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72</xdr:row>
      <xdr:rowOff>9525</xdr:rowOff>
    </xdr:from>
    <xdr:ext cx="4667250" cy="2695575"/>
    <xdr:graphicFrame>
      <xdr:nvGraphicFramePr>
        <xdr:cNvPr id="126066466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123825</xdr:rowOff>
    </xdr:from>
    <xdr:ext cx="9410700" cy="2266950"/>
    <xdr:graphicFrame>
      <xdr:nvGraphicFramePr>
        <xdr:cNvPr id="159021542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76200</xdr:colOff>
      <xdr:row>114</xdr:row>
      <xdr:rowOff>28575</xdr:rowOff>
    </xdr:from>
    <xdr:ext cx="4048125" cy="1476375"/>
    <xdr:graphicFrame>
      <xdr:nvGraphicFramePr>
        <xdr:cNvPr id="1171356002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933450</xdr:colOff>
      <xdr:row>71</xdr:row>
      <xdr:rowOff>190500</xdr:rowOff>
    </xdr:from>
    <xdr:ext cx="4514850" cy="2695575"/>
    <xdr:graphicFrame>
      <xdr:nvGraphicFramePr>
        <xdr:cNvPr id="117662570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476250</xdr:colOff>
      <xdr:row>114</xdr:row>
      <xdr:rowOff>28575</xdr:rowOff>
    </xdr:from>
    <xdr:ext cx="5105400" cy="1476375"/>
    <xdr:graphicFrame>
      <xdr:nvGraphicFramePr>
        <xdr:cNvPr id="617639301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38100</xdr:rowOff>
    </xdr:from>
    <xdr:ext cx="5715000" cy="3533775"/>
    <xdr:graphicFrame>
      <xdr:nvGraphicFramePr>
        <xdr:cNvPr id="1824648164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85725</xdr:colOff>
      <xdr:row>127</xdr:row>
      <xdr:rowOff>171450</xdr:rowOff>
    </xdr:from>
    <xdr:ext cx="9324975" cy="2447925"/>
    <xdr:graphicFrame>
      <xdr:nvGraphicFramePr>
        <xdr:cNvPr id="437511308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Dados"/>
  </cacheSource>
  <cacheFields>
    <cacheField name="Data da Venda" numFmtId="164">
      <sharedItems containsSemiMixedTypes="0" containsDate="1" containsString="0">
        <d v="2025-04-01T00:00:00Z"/>
        <d v="2025-05-01T00:00:00Z"/>
        <d v="2025-06-01T00:00:00Z"/>
        <d v="2025-02-02T00:00:00Z"/>
        <d v="2025-03-02T00:00:00Z"/>
        <d v="2025-04-02T00:00:00Z"/>
        <d v="2025-06-02T00:00:00Z"/>
        <d v="2025-01-03T00:00:00Z"/>
        <d v="2025-03-03T00:00:00Z"/>
        <d v="2025-04-03T00:00:00Z"/>
        <d v="2025-05-03T00:00:00Z"/>
        <d v="2025-01-04T00:00:00Z"/>
        <d v="2025-02-04T00:00:00Z"/>
        <d v="2025-03-04T00:00:00Z"/>
        <d v="2025-04-04T00:00:00Z"/>
        <d v="2025-05-04T00:00:00Z"/>
        <d v="2025-01-05T00:00:00Z"/>
        <d v="2025-02-05T00:00:00Z"/>
        <d v="2025-04-05T00:00:00Z"/>
        <d v="2025-05-05T00:00:00Z"/>
        <d v="2025-01-06T00:00:00Z"/>
        <d v="2025-02-06T00:00:00Z"/>
        <d v="2025-04-06T00:00:00Z"/>
        <d v="2025-05-06T00:00:00Z"/>
        <d v="2025-06-06T00:00:00Z"/>
        <d v="2025-03-07T00:00:00Z"/>
        <d v="2025-04-07T00:00:00Z"/>
        <d v="2025-05-07T00:00:00Z"/>
        <d v="2025-06-07T00:00:00Z"/>
        <d v="2025-02-08T00:00:00Z"/>
        <d v="2025-05-08T00:00:00Z"/>
        <d v="2025-06-08T00:00:00Z"/>
        <d v="2025-01-09T00:00:00Z"/>
        <d v="2025-02-09T00:00:00Z"/>
        <d v="2025-03-09T00:00:00Z"/>
        <d v="2025-05-09T00:00:00Z"/>
        <d v="2025-01-10T00:00:00Z"/>
        <d v="2025-03-10T00:00:00Z"/>
        <d v="2025-04-10T00:00:00Z"/>
        <d v="2025-05-10T00:00:00Z"/>
        <d v="2025-06-10T00:00:00Z"/>
        <d v="2025-01-11T00:00:00Z"/>
        <d v="2025-04-11T00:00:00Z"/>
        <d v="2025-05-11T00:00:00Z"/>
        <d v="2025-01-12T00:00:00Z"/>
        <d v="2025-02-12T00:00:00Z"/>
        <d v="2025-03-12T00:00:00Z"/>
        <d v="2025-04-12T00:00:00Z"/>
        <d v="2024-12-12T00:00:00Z"/>
        <d v="2025-01-13T00:00:00Z"/>
        <d v="2025-03-13T00:00:00Z"/>
        <d v="2025-04-13T00:00:00Z"/>
        <d v="2024-12-13T00:00:00Z"/>
        <d v="2025-02-14T00:00:00Z"/>
        <d v="2025-03-14T00:00:00Z"/>
        <d v="2024-12-14T00:00:00Z"/>
        <d v="2025-02-15T00:00:00Z"/>
        <d v="2025-03-15T00:00:00Z"/>
        <d v="2024-12-15T00:00:00Z"/>
        <d v="2025-03-16T00:00:00Z"/>
        <d v="2025-05-16T00:00:00Z"/>
        <d v="2024-12-16T00:00:00Z"/>
        <d v="2025-01-17T00:00:00Z"/>
        <d v="2025-02-17T00:00:00Z"/>
        <d v="2025-03-17T00:00:00Z"/>
        <d v="2025-04-17T00:00:00Z"/>
        <d v="2024-12-17T00:00:00Z"/>
        <d v="2025-01-18T00:00:00Z"/>
        <d v="2025-02-18T00:00:00Z"/>
        <d v="2025-03-18T00:00:00Z"/>
        <d v="2025-04-18T00:00:00Z"/>
        <d v="2025-05-18T00:00:00Z"/>
        <d v="2025-01-19T00:00:00Z"/>
        <d v="2025-02-19T00:00:00Z"/>
        <d v="2025-04-19T00:00:00Z"/>
        <d v="2025-05-19T00:00:00Z"/>
        <d v="2024-12-19T00:00:00Z"/>
        <d v="2025-01-20T00:00:00Z"/>
        <d v="2025-02-20T00:00:00Z"/>
        <d v="2025-05-20T00:00:00Z"/>
        <d v="2024-12-20T00:00:00Z"/>
        <d v="2025-02-21T00:00:00Z"/>
        <d v="2025-03-21T00:00:00Z"/>
        <d v="2024-12-21T00:00:00Z"/>
        <d v="2025-01-22T00:00:00Z"/>
        <d v="2025-02-22T00:00:00Z"/>
        <d v="2025-04-22T00:00:00Z"/>
        <d v="2024-12-22T00:00:00Z"/>
        <d v="2025-01-23T00:00:00Z"/>
        <d v="2025-02-23T00:00:00Z"/>
        <d v="2025-05-23T00:00:00Z"/>
        <d v="2024-12-23T00:00:00Z"/>
        <d v="2025-01-24T00:00:00Z"/>
        <d v="2025-02-24T00:00:00Z"/>
        <d v="2025-04-24T00:00:00Z"/>
        <d v="2025-05-24T00:00:00Z"/>
        <d v="2024-12-24T00:00:00Z"/>
        <d v="2025-01-25T00:00:00Z"/>
        <d v="2025-03-25T00:00:00Z"/>
        <d v="2025-04-25T00:00:00Z"/>
        <d v="2024-12-25T00:00:00Z"/>
        <d v="2025-01-26T00:00:00Z"/>
        <d v="2025-02-26T00:00:00Z"/>
        <d v="2025-04-26T00:00:00Z"/>
        <d v="2025-05-26T00:00:00Z"/>
        <d v="2024-12-26T00:00:00Z"/>
        <d v="2025-01-27T00:00:00Z"/>
        <d v="2025-04-27T00:00:00Z"/>
        <d v="2025-05-27T00:00:00Z"/>
        <d v="2024-12-27T00:00:00Z"/>
        <d v="2025-01-28T00:00:00Z"/>
        <d v="2025-02-28T00:00:00Z"/>
        <d v="2025-03-28T00:00:00Z"/>
        <d v="2025-04-28T00:00:00Z"/>
        <d v="2025-05-28T00:00:00Z"/>
        <d v="2024-12-28T00:00:00Z"/>
        <d v="2025-03-29T00:00:00Z"/>
        <d v="2025-05-29T00:00:00Z"/>
        <d v="2024-12-29T00:00:00Z"/>
        <d v="2025-03-30T00:00:00Z"/>
        <d v="2025-04-30T00:00:00Z"/>
        <d v="2025-05-30T00:00:00Z"/>
        <d v="2024-12-30T00:00:00Z"/>
        <d v="2025-03-31T00:00:00Z"/>
        <d v="2025-05-31T00:00:00Z"/>
      </sharedItems>
    </cacheField>
    <cacheField name="ID do Cliente" numFmtId="3">
      <sharedItems containsSemiMixedTypes="0" containsString="0" containsNumber="1" containsInteger="1">
        <n v="8410.0"/>
        <n v="2197.0"/>
        <n v="1960.0"/>
        <n v="6125.0"/>
        <n v="4924.0"/>
        <n v="7359.0"/>
        <n v="6714.0"/>
        <n v="3091.0"/>
        <n v="9202.0"/>
        <n v="3138.0"/>
        <n v="7884.0"/>
        <n v="2994.0"/>
        <n v="8825.0"/>
        <n v="8053.0"/>
        <n v="2731.0"/>
        <n v="4059.0"/>
        <n v="9583.0"/>
        <n v="7698.0"/>
        <n v="6695.0"/>
        <n v="8984.0"/>
        <n v="5978.0"/>
        <n v="6700.0"/>
        <n v="4907.0"/>
        <n v="2848.0"/>
        <n v="5746.0"/>
        <n v="5553.0"/>
        <n v="6444.0"/>
        <n v="2219.0"/>
        <n v="9305.0"/>
        <n v="4010.0"/>
        <n v="1549.0"/>
        <n v="3819.0"/>
        <n v="7345.0"/>
        <n v="4392.0"/>
        <n v="4708.0"/>
        <n v="2405.0"/>
        <n v="8290.0"/>
        <n v="3003.0"/>
        <n v="1825.0"/>
        <n v="2199.0"/>
        <n v="9915.0"/>
        <n v="8349.0"/>
        <n v="8542.0"/>
        <n v="5689.0"/>
        <n v="1322.0"/>
        <n v="2982.0"/>
        <n v="1498.0"/>
        <n v="3280.0"/>
        <n v="3360.0"/>
        <n v="5970.0"/>
        <n v="8421.0"/>
        <n v="6741.0"/>
        <n v="1305.0"/>
        <n v="4693.0"/>
        <n v="7166.0"/>
        <n v="6399.0"/>
        <n v="9812.0"/>
        <n v="4273.0"/>
        <n v="9652.0"/>
        <n v="1070.0"/>
        <n v="3170.0"/>
        <n v="4728.0"/>
        <n v="9550.0"/>
        <n v="4047.0"/>
        <n v="9128.0"/>
        <n v="4011.0"/>
        <n v="4562.0"/>
        <n v="9365.0"/>
        <n v="8251.0"/>
        <n v="3485.0"/>
        <n v="7689.0"/>
        <n v="6946.0"/>
        <n v="2482.0"/>
        <n v="7530.0"/>
        <n v="6638.0"/>
        <n v="6357.0"/>
        <n v="7029.0"/>
        <n v="5554.0"/>
        <n v="1639.0"/>
        <n v="8413.0"/>
        <n v="5627.0"/>
        <n v="9320.0"/>
        <n v="2976.0"/>
        <n v="1162.0"/>
        <n v="9149.0"/>
        <n v="9898.0"/>
        <n v="3895.0"/>
        <n v="4658.0"/>
        <n v="6151.0"/>
        <n v="7336.0"/>
        <n v="8798.0"/>
        <n v="3868.0"/>
        <n v="3349.0"/>
        <n v="2699.0"/>
        <n v="2931.0"/>
        <n v="7620.0"/>
        <n v="7947.0"/>
        <n v="3608.0"/>
        <n v="9631.0"/>
        <n v="8963.0"/>
        <n v="6284.0"/>
        <n v="3543.0"/>
        <n v="1583.0"/>
        <n v="5156.0"/>
        <n v="8312.0"/>
        <n v="2585.0"/>
        <n v="7503.0"/>
        <n v="3463.0"/>
        <n v="3027.0"/>
        <n v="9002.0"/>
        <n v="6139.0"/>
        <n v="8716.0"/>
        <n v="7831.0"/>
        <n v="5178.0"/>
        <n v="9988.0"/>
        <n v="1368.0"/>
        <n v="5556.0"/>
        <n v="4729.0"/>
        <n v="5327.0"/>
        <n v="3110.0"/>
        <n v="7981.0"/>
        <n v="3774.0"/>
        <n v="5607.0"/>
        <n v="3537.0"/>
        <n v="2587.0"/>
        <n v="5124.0"/>
        <n v="8128.0"/>
        <n v="2961.0"/>
        <n v="5293.0"/>
        <n v="9562.0"/>
        <n v="6397.0"/>
        <n v="9585.0"/>
        <n v="7030.0"/>
        <n v="1712.0"/>
        <n v="6303.0"/>
        <n v="5130.0"/>
        <n v="7054.0"/>
        <n v="4323.0"/>
        <n v="9239.0"/>
        <n v="6804.0"/>
        <n v="7232.0"/>
        <n v="1138.0"/>
        <n v="1722.0"/>
        <n v="8924.0"/>
        <n v="9109.0"/>
        <n v="3228.0"/>
        <n v="1215.0"/>
        <n v="6541.0"/>
        <n v="7453.0"/>
        <n v="5571.0"/>
        <n v="7331.0"/>
        <n v="6078.0"/>
        <n v="5200.0"/>
        <n v="4340.0"/>
        <n v="6352.0"/>
        <n v="3384.0"/>
        <n v="5784.0"/>
        <n v="8707.0"/>
        <n v="1619.0"/>
        <n v="3831.0"/>
        <n v="5593.0"/>
        <n v="7341.0"/>
        <n v="9471.0"/>
        <n v="2132.0"/>
        <n v="1273.0"/>
        <n v="1307.0"/>
        <n v="3189.0"/>
        <n v="2183.0"/>
        <n v="3301.0"/>
        <n v="8380.0"/>
        <n v="8894.0"/>
        <n v="5032.0"/>
        <n v="8035.0"/>
        <n v="2903.0"/>
        <n v="4776.0"/>
        <n v="8085.0"/>
        <n v="2340.0"/>
        <n v="6901.0"/>
        <n v="2229.0"/>
        <n v="2628.0"/>
        <n v="7951.0"/>
        <n v="6186.0"/>
        <n v="4023.0"/>
        <n v="8478.0"/>
        <n v="2378.0"/>
        <n v="3476.0"/>
        <n v="3470.0"/>
        <n v="2031.0"/>
        <n v="1956.0"/>
        <n v="3703.0"/>
        <n v="6117.0"/>
        <n v="4288.0"/>
        <n v="2612.0"/>
        <n v="3696.0"/>
        <n v="5748.0"/>
        <n v="7919.0"/>
        <n v="1087.0"/>
        <n v="4450.0"/>
        <n v="4959.0"/>
        <n v="9968.0"/>
      </sharedItems>
    </cacheField>
    <cacheField name="Nome do Cliente" numFmtId="49">
      <sharedItems>
        <s v="Ana Luiza Cavalcanti"/>
        <s v="João Lucas Ribeiro"/>
        <s v="Ana Luiza Castro"/>
        <s v="Maria Eduarda da Costa"/>
        <s v="Emanuelly Moreira"/>
        <s v="Alícia da Cunha"/>
        <s v="Alexandre Sales"/>
        <s v="Cauê Dias"/>
        <s v="Sra. Lívia Lopes"/>
        <s v="Bárbara Correia"/>
        <s v="Camila Cardoso"/>
        <s v="Sofia Lima"/>
        <s v="Luiz Henrique Pereira"/>
        <s v="Stephany Almeida"/>
        <s v="Matheus Cavalcanti"/>
        <s v="Luigi Pires"/>
        <s v="Maria Julia Almeida"/>
        <s v="Eduarda Teixeira"/>
        <s v="Heloísa Vieira"/>
        <s v="Dr. João Miguel Monteiro"/>
        <s v="Alana Peixoto"/>
        <s v="Dra. Catarina Castro"/>
        <s v="Rafael Jesus"/>
        <s v="Thiago Souza"/>
        <s v="Bernardo Gomes"/>
        <s v="Giovanna Costa"/>
        <s v="Pedro Sales"/>
        <s v="Daniel Nunes"/>
        <s v="Srta. Alice Martins"/>
        <s v="Ryan Moraes"/>
        <s v="Vitor Gabriel Aragão"/>
        <s v="Maitê Souza"/>
        <s v="Benício Alves"/>
        <s v="Kaique Peixoto"/>
        <s v="Stephany Rodrigues"/>
        <s v="Gabriel Azevedo"/>
        <s v="Clara Viana"/>
        <s v="Sr. Breno Farias"/>
        <s v="Maria Clara Rodrigues"/>
        <s v="Guilherme da Rocha"/>
        <s v="Dra. Lívia Ferreira"/>
        <s v="Otávio Duarte"/>
        <s v="Emanuel Costela"/>
        <s v="Vitor Ribeiro"/>
        <s v="Maria Clara Caldeira"/>
        <s v="Cauã da Luz"/>
        <s v="Amanda Barbosa"/>
        <s v="Paulo Mendes"/>
        <s v="Lucca Nascimento"/>
        <s v="Vinicius Fernandes"/>
        <s v="Dr. Henrique Pereira"/>
        <s v="João Felipe Cardoso"/>
        <s v="Vicente Teixeira"/>
        <s v="Sra. Gabriela Moreira"/>
        <s v="Levi Gomes"/>
        <s v="Giovanna Caldeira"/>
        <s v="Renan Nogueira"/>
        <s v="Sra. Ana Laura da Conceição"/>
        <s v="Dr. Thales da Mata"/>
        <s v="Dra. Mariana da Paz"/>
        <s v="Vitor Hugo da Conceição"/>
        <s v="Dr. Caio Viana"/>
        <s v="Emanuella Alves"/>
        <s v="Vitor Gabriel da Paz"/>
        <s v="Sarah Farias"/>
        <s v="Sr. Arthur Silveira"/>
        <s v="Benjamin Duarte"/>
        <s v="Alexandre Novaes"/>
        <s v="Fernando Nascimento"/>
        <s v="Pedro das Neves"/>
        <s v="João Felipe Nunes"/>
        <s v="Marcelo Cardoso"/>
        <s v="Daniela Rocha"/>
        <s v="Rafael Alves"/>
        <s v="Luiza Barbosa"/>
        <s v="Lorena Vieira"/>
        <s v="Ian Santos"/>
        <s v="Rafaela Silva"/>
        <s v="João Vitor da Costa"/>
        <s v="Brenda Monteiro"/>
        <s v="Marcela Rezende"/>
        <s v="Ana Julia Gonçalves"/>
        <s v="Natália da Rosa"/>
        <s v="Sofia Monteiro"/>
        <s v="Ana Beatriz Martins"/>
        <s v="Sr. Igor da Mota"/>
        <s v="Matheus Peixoto"/>
        <s v="Gabrielly Dias"/>
        <s v="Ryan Costa"/>
        <s v="Yuri Almeida"/>
        <s v="Levi Correia"/>
        <s v="Nathan Teixeira"/>
        <s v="Maria Vitória Gonçalves"/>
        <s v="Antônio Gonçalves"/>
        <s v="Renan da Paz"/>
        <s v="Caio Moura"/>
        <s v="Luna Porto"/>
        <s v="Dra. Marina Cavalcanti"/>
        <s v="Lorena Pereira"/>
        <s v="Dra. Brenda Gonçalves"/>
        <s v="Catarina Costa"/>
        <s v="Dr. Caio Silveira"/>
        <s v="Julia Cardoso"/>
        <s v="Mirella Gonçalves"/>
        <s v="Davi Luiz da Cunha"/>
        <s v="Pedro Lucas Cunha"/>
        <s v="Lucca Castro"/>
        <s v="Srta. Brenda Cunha"/>
        <s v="Francisco Monteiro"/>
        <s v="Dr. Cauê Novaes"/>
        <s v="João Vitor da Mota"/>
        <s v="Elisa Ramos"/>
        <s v="Rebeca Moreira"/>
        <s v="Helena Dias"/>
        <s v="Nathan Mendes"/>
        <s v="Ana Clara Costela"/>
        <s v="Carolina Araújo"/>
        <s v="Dra. Pietra Souza"/>
        <s v="Sr. Benício da Cunha"/>
        <s v="Dr. Anthony Pires"/>
        <s v="Dra. Emanuella Gonçalves"/>
        <s v="Sra. Yasmin Freitas"/>
        <s v="Maitê da Cruz"/>
        <s v="Caroline da Paz"/>
        <s v="Lorena Caldeira"/>
        <s v="Carolina Martins"/>
        <s v="Erick Silveira"/>
        <s v="Pedro Henrique das Neves"/>
        <s v="Sra. Maria Alice das Neves"/>
        <s v="Lucca Oliveira"/>
        <s v="Davi Silva"/>
        <s v="Benjamin Alves"/>
        <s v="Ian Pereira"/>
        <s v="Maria Fernanda Jesus"/>
        <s v="João Miguel Melo"/>
        <s v="Luiz Otávio Cavalcanti"/>
        <s v="Augusto Aragão"/>
        <s v="Gustavo Henrique Vieira"/>
        <s v="João Felipe Moura"/>
        <s v="Emanuelly Correia"/>
        <s v="Nicole Fogaça"/>
        <s v="Dr. João Miguel Oliveira"/>
        <s v="André Sales"/>
        <s v="Eduardo Alves"/>
        <s v="Vitória Oliveira"/>
        <s v="Matheus Viana"/>
        <s v="Dr. Vitor Rezende"/>
        <s v="Lucas Teixeira"/>
        <s v="Valentina Ramos"/>
        <s v="Mirella da Cruz"/>
        <s v="Maria Vitória Aragão"/>
        <s v="Thiago Sales"/>
        <s v="Daniela da Costa"/>
        <s v="Luiza Carvalho"/>
        <s v="Srta. Raquel Moura"/>
        <s v="Diogo Cavalcanti"/>
        <s v="Gabrielly Freitas"/>
        <s v="Juan da Mata"/>
        <s v="Ana Júlia Melo"/>
        <s v="Sofia Mendes"/>
        <s v="Isadora Ferreira"/>
        <s v="Raquel Novaes"/>
        <s v="Kaique Gonçalves"/>
        <s v="Alexia Viana"/>
        <s v="João Miguel Pires"/>
        <s v="Vitor Gabriel Moraes"/>
        <s v="Luiz Otávio Silva"/>
        <s v="Lívia Caldeira"/>
        <s v="Thiago Azevedo"/>
        <s v="Dr. Lucas Sales"/>
        <s v="Laís Pires"/>
        <s v="Davi Lucca Cardoso"/>
        <s v="Calebe Araújo"/>
        <s v="Dr. André Cunha"/>
        <s v="Pedro Lucas Barbosa"/>
        <s v="João Pedro Alves"/>
        <s v="Thales Pereira"/>
        <s v="Dr. Yuri da Rocha"/>
        <s v="Sra. Isabella Porto"/>
        <s v="Renan Vieira"/>
        <s v="Cecília Duarte"/>
        <s v="Amanda Costela"/>
        <s v="Maria Sophia Alves"/>
        <s v="Luiz Gustavo Freitas"/>
        <s v="Matheus Caldeira"/>
        <s v="Dr. Ryan Santos"/>
        <s v="Miguel Gonçalves"/>
        <s v="Bianca Fogaça"/>
        <s v="Heitor Cardoso"/>
        <s v="Heloísa da Rosa"/>
        <s v="Matheus Melo"/>
        <s v="Arthur Peixoto"/>
        <s v="Rafaela Vieira"/>
        <s v="André Dias"/>
        <s v="Bárbara Nascimento"/>
        <s v="Nicolas Souza"/>
        <s v="Lucca Melo"/>
        <s v="Milena Cavalcanti"/>
        <s v="Sr. João Felipe Castro"/>
      </sharedItems>
    </cacheField>
    <cacheField name="Estado" numFmtId="49">
      <sharedItems>
        <s v="MG"/>
        <s v="RS"/>
        <s v="PE"/>
        <s v="SP"/>
        <s v="RJ"/>
        <s v="BA"/>
        <s v="PR"/>
      </sharedItems>
    </cacheField>
    <cacheField name="Categoria" numFmtId="49">
      <sharedItems>
        <s v="Brinquedos"/>
        <s v="Móveis"/>
        <s v="Alimentos"/>
        <s v="Vestuário"/>
        <s v="Eletrônicos"/>
      </sharedItems>
    </cacheField>
    <cacheField name="Produto" numFmtId="49">
      <sharedItems>
        <s v="Boneca"/>
        <s v="Cama"/>
        <s v="Leite"/>
        <s v="Calça Jeans"/>
        <s v="Cadeira"/>
        <s v="Monitor"/>
        <s v="Carrinho"/>
        <s v="Quebra-Cabeça"/>
        <s v="Bola"/>
        <s v="Arroz"/>
        <s v="Café"/>
        <s v="Mesa"/>
        <s v="Smartphone"/>
        <s v="Camiseta"/>
        <s v="Jogo de Tabuleiro"/>
        <s v="Notebook"/>
        <s v="Tablet"/>
        <s v="Fone de Ouvido"/>
        <s v="Feijão"/>
        <s v="Jaqueta"/>
        <s v="Sofá"/>
        <s v="Boné"/>
        <s v="Pão"/>
        <s v="Tênis"/>
        <s v="Estante"/>
      </sharedItems>
    </cacheField>
    <cacheField name="Quantidade" numFmtId="165">
      <sharedItems containsSemiMixedTypes="0" containsString="0" containsNumber="1" containsInteger="1">
        <n v="9.0"/>
        <n v="1.0"/>
        <n v="5.0"/>
        <n v="2.0"/>
        <n v="4.0"/>
        <n v="8.0"/>
        <n v="3.0"/>
        <n v="7.0"/>
        <n v="10.0"/>
        <n v="6.0"/>
      </sharedItems>
    </cacheField>
    <cacheField name=" Preço Unitário " numFmtId="166">
      <sharedItems containsSemiMixedTypes="0" containsString="0" containsNumber="1">
        <n v="2134.06"/>
        <n v="1350.68"/>
        <n v="220.11"/>
        <n v="603.9"/>
        <n v="2664.66"/>
        <n v="1751.46"/>
        <n v="2256.13"/>
        <n v="1718.77"/>
        <n v="2533.86"/>
        <n v="2043.33"/>
        <n v="1733.16"/>
        <n v="2263.35"/>
        <n v="1498.73"/>
        <n v="890.08"/>
        <n v="1717.45"/>
        <n v="520.7"/>
        <n v="1492.2"/>
        <n v="2315.37"/>
        <n v="1182.29"/>
        <n v="2022.72"/>
        <n v="1674.7"/>
        <n v="2205.46"/>
        <n v="2262.74"/>
        <n v="1450.82"/>
        <n v="2806.52"/>
        <n v="1653.32"/>
        <n v="2161.24"/>
        <n v="2426.59"/>
        <n v="366.45"/>
        <n v="1872.52"/>
        <n v="819.91"/>
        <n v="610.97"/>
        <n v="510.08"/>
        <n v="2302.59"/>
        <n v="2759.63"/>
        <n v="1072.44"/>
        <n v="2962.51"/>
        <n v="1798.72"/>
        <n v="1489.84"/>
        <n v="2105.64"/>
        <n v="370.94"/>
        <n v="2260.45"/>
        <n v="2541.62"/>
        <n v="481.94"/>
        <n v="1070.3"/>
        <n v="2008.93"/>
        <n v="1257.06"/>
        <n v="2368.75"/>
        <n v="2032.29"/>
        <n v="2631.91"/>
        <n v="841.55"/>
        <n v="2897.17"/>
        <n v="624.63"/>
        <n v="2258.73"/>
        <n v="1462.31"/>
        <n v="523.59"/>
        <n v="934.59"/>
        <n v="746.31"/>
        <n v="1754.65"/>
        <n v="2220.94"/>
        <n v="1610.73"/>
        <n v="1835.12"/>
        <n v="1520.8"/>
        <n v="1250.26"/>
        <n v="892.65"/>
        <n v="801.95"/>
        <n v="2094.24"/>
        <n v="976.21"/>
        <n v="1574.21"/>
        <n v="294.04"/>
        <n v="2391.07"/>
        <n v="197.93"/>
        <n v="999.76"/>
        <n v="2691.05"/>
        <n v="2277.06"/>
        <n v="1150.43"/>
        <n v="491.42"/>
        <n v="2495.1"/>
        <n v="1042.55"/>
        <n v="215.83"/>
        <n v="390.42"/>
        <n v="2406.94"/>
        <n v="558.37"/>
        <n v="1148.98"/>
        <n v="2458.52"/>
        <n v="2905.37"/>
        <n v="1733.91"/>
        <n v="1692.65"/>
        <n v="2756.99"/>
        <n v="2208.48"/>
        <n v="1141.24"/>
        <n v="1069.52"/>
        <n v="529.78"/>
        <n v="2082.79"/>
        <n v="398.59"/>
        <n v="601.34"/>
        <n v="1737.15"/>
        <n v="2607.24"/>
        <n v="593.3"/>
        <n v="1921.29"/>
        <n v="34.15"/>
        <n v="158.02"/>
        <n v="2912.84"/>
        <n v="457.74"/>
        <n v="1574.61"/>
        <n v="1189.63"/>
        <n v="692.95"/>
        <n v="22.36"/>
        <n v="2192.52"/>
        <n v="781.16"/>
        <n v="363.87"/>
        <n v="588.56"/>
        <n v="2175.89"/>
        <n v="753.5"/>
        <n v="505.04"/>
        <n v="1793.52"/>
        <n v="589.42"/>
        <n v="1811.24"/>
        <n v="697.56"/>
        <n v="1507.34"/>
        <n v="2972.09"/>
        <n v="791.68"/>
        <n v="1157.85"/>
        <n v="1263.0"/>
        <n v="2985.62"/>
        <n v="162.51"/>
        <n v="51.35"/>
        <n v="1869.88"/>
        <n v="182.58"/>
        <n v="981.58"/>
        <n v="2557.5"/>
        <n v="923.47"/>
        <n v="1022.96"/>
        <n v="464.28"/>
        <n v="2422.84"/>
        <n v="1114.56"/>
        <n v="1826.29"/>
        <n v="2889.42"/>
        <n v="82.28"/>
        <n v="207.49"/>
        <n v="840.27"/>
        <n v="1101.76"/>
        <n v="235.34"/>
        <n v="1570.37"/>
        <n v="1558.15"/>
        <n v="1407.58"/>
        <n v="1905.04"/>
        <n v="916.94"/>
        <n v="1058.38"/>
        <n v="607.82"/>
        <n v="1217.57"/>
        <n v="1491.66"/>
        <n v="2146.1"/>
        <n v="2772.87"/>
        <n v="2350.7"/>
        <n v="1132.81"/>
        <n v="2378.06"/>
        <n v="116.63"/>
        <n v="1588.87"/>
        <n v="2364.33"/>
        <n v="234.04"/>
        <n v="1385.18"/>
        <n v="984.74"/>
        <n v="2597.6"/>
        <n v="384.15"/>
        <n v="2625.24"/>
        <n v="2524.68"/>
        <n v="2082.2"/>
        <n v="104.92"/>
        <n v="721.18"/>
        <n v="341.75"/>
        <n v="56.89"/>
        <n v="40.59"/>
        <n v="1955.2"/>
        <n v="1081.36"/>
        <n v="997.47"/>
        <n v="1770.78"/>
        <n v="1839.57"/>
        <n v="2273.92"/>
        <n v="1970.61"/>
        <n v="2722.7"/>
        <n v="1452.23"/>
        <n v="1224.69"/>
        <n v="2724.4"/>
        <n v="126.5"/>
        <n v="2895.27"/>
        <n v="637.17"/>
        <n v="2458.54"/>
        <n v="2371.99"/>
        <n v="384.78"/>
        <n v="896.99"/>
        <n v="418.23"/>
        <n v="1886.77"/>
        <n v="2660.26"/>
        <n v="192.91"/>
        <n v="1264.31"/>
        <n v="2319.21"/>
        <n v="1682.66"/>
        <n v="1022.47"/>
        <n v="1493.85"/>
      </sharedItems>
    </cacheField>
    <cacheField name="Total da Venda" numFmtId="167">
      <sharedItems containsSemiMixedTypes="0" containsString="0" containsNumber="1">
        <n v="19206.54"/>
        <n v="1350.68"/>
        <n v="1100.5500000000002"/>
        <n v="1207.8"/>
        <n v="10658.64"/>
        <n v="14011.68"/>
        <n v="6768.39"/>
        <n v="1718.77"/>
        <n v="12669.300000000001"/>
        <n v="10216.65"/>
        <n v="1733.16"/>
        <n v="18106.8"/>
        <n v="10491.11"/>
        <n v="1780.16"/>
        <n v="13739.6"/>
        <n v="5207.0"/>
        <n v="14922.0"/>
        <n v="9261.48"/>
        <n v="4729.16"/>
        <n v="18204.48"/>
        <n v="16747.0"/>
        <n v="15438.220000000001"/>
        <n v="22627.399999999998"/>
        <n v="4352.46"/>
        <n v="8419.56"/>
        <n v="11573.24"/>
        <n v="8644.96"/>
        <n v="12132.95"/>
        <n v="1099.35"/>
        <n v="14980.16"/>
        <n v="3279.64"/>
        <n v="5498.7300000000005"/>
        <n v="1020.16"/>
        <n v="23025.9"/>
        <n v="8278.89"/>
        <n v="8579.52"/>
        <n v="26662.590000000004"/>
        <n v="17987.2"/>
        <n v="2979.68"/>
        <n v="6316.92"/>
        <n v="741.88"/>
        <n v="9041.8"/>
        <n v="2541.62"/>
        <n v="3855.52"/>
        <n v="5351.5"/>
        <n v="4017.86"/>
        <n v="3771.18"/>
        <n v="23687.5"/>
        <n v="8129.16"/>
        <n v="5263.82"/>
        <n v="841.55"/>
        <n v="26074.53"/>
        <n v="4997.04"/>
        <n v="15811.11"/>
        <n v="14623.099999999999"/>
        <n v="3141.54"/>
        <n v="8411.31"/>
        <n v="7463.099999999999"/>
        <n v="1754.65"/>
        <n v="15546.58"/>
        <n v="14496.57"/>
        <n v="9175.599999999999"/>
        <n v="6083.2"/>
        <n v="10002.08"/>
        <n v="5355.9"/>
        <n v="1603.9"/>
        <n v="20942.399999999998"/>
        <n v="7809.68"/>
        <n v="12593.68"/>
        <n v="588.08"/>
        <n v="19128.56"/>
        <n v="1385.51"/>
        <n v="1999.52"/>
        <n v="5382.1"/>
        <n v="18216.48"/>
        <n v="8053.01"/>
        <n v="4422.78"/>
        <n v="7485.299999999999"/>
        <n v="3127.6499999999996"/>
        <n v="1510.8100000000002"/>
        <n v="1171.26"/>
        <n v="16848.58"/>
        <n v="3908.59"/>
        <n v="9191.84"/>
        <n v="17209.64"/>
        <n v="26148.329999999998"/>
        <n v="12137.37"/>
        <n v="11848.550000000001"/>
        <n v="22055.92"/>
        <n v="6625.4400000000005"/>
        <n v="6847.4400000000005"/>
        <n v="4278.08"/>
        <n v="4238.24"/>
        <n v="8331.16"/>
        <n v="1195.77"/>
        <n v="601.34"/>
        <n v="12160.050000000001"/>
        <n v="5214.48"/>
        <n v="4153.099999999999"/>
        <n v="11527.74"/>
        <n v="341.5"/>
        <n v="790.1"/>
        <n v="11651.36"/>
        <n v="2288.7"/>
        <n v="1574.61"/>
        <n v="2379.26"/>
        <n v="3464.75"/>
        <n v="89.44"/>
        <n v="2192.52"/>
        <n v="6249.28"/>
        <n v="2910.96"/>
        <n v="4119.92"/>
        <n v="21758.899999999998"/>
        <n v="4521.0"/>
        <n v="505.04"/>
        <n v="3587.04"/>
        <n v="5304.78"/>
        <n v="16301.16"/>
        <n v="2092.68"/>
        <n v="15073.4"/>
        <n v="11888.36"/>
        <n v="791.68"/>
        <n v="1157.85"/>
        <n v="1263.0"/>
        <n v="5971.24"/>
        <n v="1625.1"/>
        <n v="154.05"/>
        <n v="18698.800000000003"/>
        <n v="912.9000000000001"/>
        <n v="3926.32"/>
        <n v="25575.0"/>
        <n v="6464.29"/>
        <n v="8183.68"/>
        <n v="3249.96"/>
        <n v="9691.36"/>
        <n v="6687.36"/>
        <n v="12784.029999999999"/>
        <n v="17336.52"/>
        <n v="411.4"/>
        <n v="207.49"/>
        <n v="840.27"/>
        <n v="11017.6"/>
        <n v="1882.72"/>
        <n v="14133.329999999998"/>
        <n v="9348.900000000001"/>
        <n v="11260.64"/>
        <n v="15240.32"/>
        <n v="1833.88"/>
        <n v="10583.800000000001"/>
        <n v="5470.38"/>
        <n v="3652.71"/>
        <n v="11933.28"/>
        <n v="4292.2"/>
        <n v="22182.96"/>
        <n v="23507.0"/>
        <n v="5664.049999999999"/>
        <n v="19024.48"/>
        <n v="1166.3"/>
        <n v="15888.699999999999"/>
        <n v="14185.98"/>
        <n v="1170.2"/>
        <n v="12466.62"/>
        <n v="9847.4"/>
        <n v="15585.599999999999"/>
        <n v="2689.0499999999997"/>
        <n v="5250.48"/>
        <n v="2524.68"/>
        <n v="8328.8"/>
        <n v="734.44"/>
        <n v="3605.8999999999996"/>
        <n v="3075.75"/>
        <n v="227.56"/>
        <n v="81.18"/>
        <n v="17596.8"/>
        <n v="10813.599999999999"/>
        <n v="5984.82"/>
        <n v="15937.02"/>
        <n v="16556.13"/>
        <n v="13643.52"/>
        <n v="13794.269999999999"/>
        <n v="24504.3"/>
        <n v="14522.3"/>
        <n v="7348.14"/>
        <n v="16346.400000000001"/>
        <n v="759.0"/>
        <n v="2895.27"/>
        <n v="3185.85"/>
        <n v="22126.86"/>
        <n v="21347.909999999996"/>
        <n v="2693.46"/>
        <n v="5381.9400000000005"/>
        <n v="1672.92"/>
        <n v="7547.08"/>
        <n v="2660.26"/>
        <n v="1543.28"/>
        <n v="6321.549999999999"/>
        <n v="2319.21"/>
        <n v="11778.62"/>
        <n v="3067.41"/>
        <n v="10456.949999999999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ês" numFmtId="0">
      <sharedItems containsSemiMixedTypes="0" containsString="0" containsNumber="1" containsInteger="1">
        <n v="4.0"/>
        <n v="5.0"/>
        <n v="6.0"/>
        <n v="2.0"/>
        <n v="3.0"/>
        <n v="1.0"/>
        <n v="12.0"/>
      </sharedItems>
    </cacheField>
    <cacheField name="Di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</sharedItems>
    </cacheField>
    <cacheField name="Dia da Semana" numFmtId="0">
      <sharedItems containsSemiMixedTypes="0" containsString="0" containsNumber="1" containsInteger="1">
        <n v="3.0"/>
        <n v="5.0"/>
        <n v="1.0"/>
        <n v="4.0"/>
        <n v="2.0"/>
        <n v="6.0"/>
        <n v="7.0"/>
      </sharedItems>
    </cacheField>
    <cacheField name="Lucro" numFmtId="167">
      <sharedItems containsSemiMixedTypes="0" containsString="0" containsNumber="1">
        <n v="7682.616000000001"/>
        <n v="540.272"/>
        <n v="440.2200000000001"/>
        <n v="483.12"/>
        <n v="4263.456"/>
        <n v="5604.6720000000005"/>
        <n v="2707.356"/>
        <n v="687.508"/>
        <n v="5067.720000000001"/>
        <n v="4086.66"/>
        <n v="693.2640000000001"/>
        <n v="7242.72"/>
        <n v="4196.444"/>
        <n v="712.0640000000001"/>
        <n v="5495.84"/>
        <n v="2082.8"/>
        <n v="5968.8"/>
        <n v="3704.592"/>
        <n v="1891.664"/>
        <n v="7281.792"/>
        <n v="6698.8"/>
        <n v="6175.2880000000005"/>
        <n v="9050.96"/>
        <n v="1740.9840000000002"/>
        <n v="3367.824"/>
        <n v="4629.296"/>
        <n v="3457.984"/>
        <n v="4853.18"/>
        <n v="439.74"/>
        <n v="5992.064"/>
        <n v="1311.856"/>
        <n v="2199.492"/>
        <n v="408.064"/>
        <n v="9210.36"/>
        <n v="3311.556"/>
        <n v="3431.8080000000004"/>
        <n v="10665.036000000002"/>
        <n v="7194.880000000001"/>
        <n v="1191.872"/>
        <n v="2526.768"/>
        <n v="296.752"/>
        <n v="3616.72"/>
        <n v="1016.648"/>
        <n v="1542.208"/>
        <n v="2140.6"/>
        <n v="1607.1440000000002"/>
        <n v="1508.472"/>
        <n v="9475.0"/>
        <n v="3251.664"/>
        <n v="2105.528"/>
        <n v="336.62"/>
        <n v="10429.812"/>
        <n v="1998.816"/>
        <n v="6324.444"/>
        <n v="5849.24"/>
        <n v="1256.616"/>
        <n v="3364.524"/>
        <n v="2985.24"/>
        <n v="701.8600000000001"/>
        <n v="6218.6320000000005"/>
        <n v="5798.628000000001"/>
        <n v="3670.24"/>
        <n v="2433.28"/>
        <n v="4000.8320000000003"/>
        <n v="2142.36"/>
        <n v="641.5600000000001"/>
        <n v="8376.96"/>
        <n v="3123.8720000000003"/>
        <n v="5037.472000000001"/>
        <n v="235.23200000000003"/>
        <n v="7651.424000000001"/>
        <n v="554.2040000000001"/>
        <n v="799.808"/>
        <n v="2152.84"/>
        <n v="7286.592000000001"/>
        <n v="3221.204"/>
        <n v="1769.112"/>
        <n v="2994.12"/>
        <n v="1251.06"/>
        <n v="604.3240000000001"/>
        <n v="468.504"/>
        <n v="6739.432000000001"/>
        <n v="1563.4360000000001"/>
        <n v="3676.7360000000003"/>
        <n v="6883.856"/>
        <n v="10459.332"/>
        <n v="4854.948"/>
        <n v="4739.420000000001"/>
        <n v="8822.368"/>
        <n v="2650.1760000000004"/>
        <n v="2738.9760000000006"/>
        <n v="1711.232"/>
        <n v="1695.296"/>
        <n v="3332.464"/>
        <n v="478.308"/>
        <n v="240.53600000000003"/>
        <n v="4864.02"/>
        <n v="2085.792"/>
        <n v="1661.2399999999998"/>
        <n v="4611.0960000000005"/>
        <n v="136.6"/>
        <n v="316.04"/>
        <n v="4660.544000000001"/>
        <n v="915.48"/>
        <n v="629.844"/>
        <n v="951.7040000000002"/>
        <n v="1385.9"/>
        <n v="35.776"/>
        <n v="877.008"/>
        <n v="2499.712"/>
        <n v="1164.384"/>
        <n v="1647.968"/>
        <n v="8703.56"/>
        <n v="1808.4"/>
        <n v="202.01600000000002"/>
        <n v="1434.816"/>
        <n v="2121.912"/>
        <n v="6520.464"/>
        <n v="837.072"/>
        <n v="6029.360000000001"/>
        <n v="4755.344"/>
        <n v="316.672"/>
        <n v="463.14"/>
        <n v="505.20000000000005"/>
        <n v="2388.496"/>
        <n v="650.04"/>
        <n v="61.620000000000005"/>
        <n v="7479.520000000001"/>
        <n v="365.1600000000001"/>
        <n v="1570.5280000000002"/>
        <n v="10230.0"/>
        <n v="2585.7160000000003"/>
        <n v="3273.472"/>
        <n v="1299.9840000000002"/>
        <n v="3876.5440000000003"/>
        <n v="2674.944"/>
        <n v="5113.612"/>
        <n v="6934.608"/>
        <n v="164.56"/>
        <n v="82.99600000000001"/>
        <n v="336.108"/>
        <n v="4407.04"/>
        <n v="753.0880000000001"/>
        <n v="5653.331999999999"/>
        <n v="3739.560000000001"/>
        <n v="4504.256"/>
        <n v="6096.128000000001"/>
        <n v="733.5520000000001"/>
        <n v="4233.52"/>
        <n v="2188.152"/>
        <n v="1461.084"/>
        <n v="4773.312000000001"/>
        <n v="1716.88"/>
        <n v="8873.184"/>
        <n v="9402.800000000001"/>
        <n v="2265.62"/>
        <n v="7609.792"/>
        <n v="466.52"/>
        <n v="6355.48"/>
        <n v="5674.392"/>
        <n v="468.08000000000004"/>
        <n v="4986.648000000001"/>
        <n v="3938.96"/>
        <n v="6234.24"/>
        <n v="1075.62"/>
        <n v="2100.192"/>
        <n v="1009.872"/>
        <n v="3331.52"/>
        <n v="293.776"/>
        <n v="1442.36"/>
        <n v="1230.3000000000002"/>
        <n v="91.024"/>
        <n v="32.472"/>
        <n v="7038.72"/>
        <n v="4325.44"/>
        <n v="2393.928"/>
        <n v="6374.808000000001"/>
        <n v="6622.452000000001"/>
        <n v="5457.408"/>
        <n v="5517.708"/>
        <n v="9801.72"/>
        <n v="5808.92"/>
        <n v="2939.2560000000003"/>
        <n v="6538.560000000001"/>
        <n v="303.6"/>
        <n v="1158.108"/>
        <n v="1274.3400000000001"/>
        <n v="8850.744"/>
        <n v="8539.163999999999"/>
        <n v="1077.384"/>
        <n v="2152.7760000000003"/>
        <n v="669.1680000000001"/>
        <n v="3018.8320000000003"/>
        <n v="1064.104"/>
        <n v="617.312"/>
        <n v="2528.62"/>
        <n v="927.6840000000001"/>
        <n v="4711.448"/>
        <n v="1226.964"/>
        <n v="4182.78"/>
      </sharedItems>
    </cacheField>
    <cacheField name="Gastos" numFmtId="167">
      <sharedItems containsSemiMixedTypes="0" containsString="0" containsNumber="1">
        <n v="1920.6540000000002"/>
        <n v="135.068"/>
        <n v="110.05500000000002"/>
        <n v="120.78"/>
        <n v="1065.864"/>
        <n v="1401.1680000000001"/>
        <n v="676.839"/>
        <n v="171.877"/>
        <n v="1266.9300000000003"/>
        <n v="1021.665"/>
        <n v="173.31600000000003"/>
        <n v="1810.68"/>
        <n v="1049.111"/>
        <n v="178.01600000000002"/>
        <n v="1373.96"/>
        <n v="520.7"/>
        <n v="1492.2"/>
        <n v="926.148"/>
        <n v="472.916"/>
        <n v="1820.448"/>
        <n v="1674.7"/>
        <n v="1543.8220000000001"/>
        <n v="2262.74"/>
        <n v="435.24600000000004"/>
        <n v="841.956"/>
        <n v="1157.324"/>
        <n v="864.496"/>
        <n v="1213.295"/>
        <n v="109.935"/>
        <n v="1498.016"/>
        <n v="327.964"/>
        <n v="549.873"/>
        <n v="102.016"/>
        <n v="2302.59"/>
        <n v="827.889"/>
        <n v="857.9520000000001"/>
        <n v="2666.2590000000005"/>
        <n v="1798.7200000000003"/>
        <n v="297.968"/>
        <n v="631.692"/>
        <n v="74.188"/>
        <n v="904.18"/>
        <n v="254.162"/>
        <n v="385.552"/>
        <n v="535.15"/>
        <n v="401.78600000000006"/>
        <n v="377.118"/>
        <n v="2368.75"/>
        <n v="812.916"/>
        <n v="526.382"/>
        <n v="84.155"/>
        <n v="2607.453"/>
        <n v="499.704"/>
        <n v="1581.111"/>
        <n v="1462.31"/>
        <n v="314.154"/>
        <n v="841.131"/>
        <n v="746.31"/>
        <n v="175.46500000000003"/>
        <n v="1554.6580000000001"/>
        <n v="1449.6570000000002"/>
        <n v="917.56"/>
        <n v="608.32"/>
        <n v="1000.2080000000001"/>
        <n v="535.59"/>
        <n v="160.39000000000001"/>
        <n v="2094.24"/>
        <n v="780.9680000000001"/>
        <n v="1259.3680000000002"/>
        <n v="58.80800000000001"/>
        <n v="1912.8560000000002"/>
        <n v="138.55100000000002"/>
        <n v="199.952"/>
        <n v="538.21"/>
        <n v="1821.6480000000001"/>
        <n v="805.301"/>
        <n v="442.278"/>
        <n v="748.53"/>
        <n v="312.765"/>
        <n v="151.08100000000002"/>
        <n v="117.126"/>
        <n v="1684.8580000000002"/>
        <n v="390.85900000000004"/>
        <n v="919.1840000000001"/>
        <n v="1720.964"/>
        <n v="2614.833"/>
        <n v="1213.737"/>
        <n v="1184.8550000000002"/>
        <n v="2205.592"/>
        <n v="662.5440000000001"/>
        <n v="684.7440000000001"/>
        <n v="427.808"/>
        <n v="423.824"/>
        <n v="833.116"/>
        <n v="119.577"/>
        <n v="60.13400000000001"/>
        <n v="1216.005"/>
        <n v="521.448"/>
        <n v="415.30999999999995"/>
        <n v="1152.7740000000001"/>
        <n v="34.15"/>
        <n v="79.01"/>
        <n v="1165.1360000000002"/>
        <n v="228.87"/>
        <n v="157.461"/>
        <n v="237.92600000000004"/>
        <n v="346.475"/>
        <n v="8.944"/>
        <n v="219.252"/>
        <n v="624.928"/>
        <n v="291.096"/>
        <n v="411.992"/>
        <n v="2175.89"/>
        <n v="452.1"/>
        <n v="50.504000000000005"/>
        <n v="358.704"/>
        <n v="530.478"/>
        <n v="1630.116"/>
        <n v="209.268"/>
        <n v="1507.3400000000001"/>
        <n v="1188.836"/>
        <n v="79.168"/>
        <n v="115.785"/>
        <n v="126.30000000000001"/>
        <n v="597.124"/>
        <n v="162.51"/>
        <n v="15.405000000000001"/>
        <n v="1869.8800000000003"/>
        <n v="91.29000000000002"/>
        <n v="392.63200000000006"/>
        <n v="2557.5"/>
        <n v="646.4290000000001"/>
        <n v="818.368"/>
        <n v="324.99600000000004"/>
        <n v="969.1360000000001"/>
        <n v="668.736"/>
        <n v="1278.403"/>
        <n v="1733.652"/>
        <n v="41.14"/>
        <n v="20.749000000000002"/>
        <n v="84.027"/>
        <n v="1101.76"/>
        <n v="188.27200000000002"/>
        <n v="1413.3329999999999"/>
        <n v="934.8900000000002"/>
        <n v="1126.064"/>
        <n v="1524.0320000000002"/>
        <n v="183.38800000000003"/>
        <n v="1058.38"/>
        <n v="547.038"/>
        <n v="365.271"/>
        <n v="1193.3280000000002"/>
        <n v="429.22"/>
        <n v="2218.296"/>
        <n v="2350.7000000000003"/>
        <n v="566.405"/>
        <n v="1902.448"/>
        <n v="116.63"/>
        <n v="1588.87"/>
        <n v="1418.598"/>
        <n v="117.02000000000001"/>
        <n v="1246.6620000000003"/>
        <n v="984.74"/>
        <n v="1558.56"/>
        <n v="268.905"/>
        <n v="525.048"/>
        <n v="252.468"/>
        <n v="832.88"/>
        <n v="73.444"/>
        <n v="360.59"/>
        <n v="307.57500000000005"/>
        <n v="22.756"/>
        <n v="8.118"/>
        <n v="1759.68"/>
        <n v="1081.36"/>
        <n v="598.482"/>
        <n v="1593.7020000000002"/>
        <n v="1655.6130000000003"/>
        <n v="1364.352"/>
        <n v="1379.427"/>
        <n v="2450.43"/>
        <n v="1452.23"/>
        <n v="734.8140000000001"/>
        <n v="1634.6400000000003"/>
        <n v="75.9"/>
        <n v="289.527"/>
        <n v="318.58500000000004"/>
        <n v="2212.686"/>
        <n v="2134.7909999999997"/>
        <n v="269.346"/>
        <n v="538.1940000000001"/>
        <n v="167.29200000000003"/>
        <n v="754.7080000000001"/>
        <n v="266.026"/>
        <n v="154.328"/>
        <n v="632.155"/>
        <n v="231.92100000000002"/>
        <n v="1177.862"/>
        <n v="306.741"/>
        <n v="1045.695"/>
      </sharedItems>
    </cacheField>
    <cacheField name="ANO/MÊS" numFmtId="0">
      <sharedItems>
        <s v="2025_4"/>
        <s v="2025_5"/>
        <s v="2025_6"/>
        <s v="2025_2"/>
        <s v="2025_3"/>
        <s v="2025_1"/>
        <s v="2024_12"/>
      </sharedItems>
    </cacheField>
    <cacheField name="VIP" numFmtId="0">
      <sharedItems>
        <s v="VIP"/>
        <s v="Não 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I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4"/>
        <item x="0"/>
        <item x="3"/>
        <item x="1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1"/>
        <item x="0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Gráficos e Comentários" cacheId="0" dataCaption="" compact="0" compactData="0">
  <location ref="A2:I4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axis="axisCol" compact="0" outline="0" multipleItemSelectionAllowed="1" showAll="0" sortType="ascending">
      <items>
        <item x="6"/>
        <item x="5"/>
        <item x="3"/>
        <item x="4"/>
        <item x="0"/>
        <item x="1"/>
        <item x="2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TOTAL DE VENDAS POR MÊS" fld="8" baseField="0"/>
  </dataFields>
</pivotTableDefinition>
</file>

<file path=xl/pivotTables/pivotTable3.xml><?xml version="1.0" encoding="utf-8"?>
<pivotTableDefinition xmlns="http://schemas.openxmlformats.org/spreadsheetml/2006/main" name="Gráficos e Comentários 2" cacheId="0" dataCaption="" compact="0" compactData="0">
  <location ref="A14:B2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numFmtId="49" outline="0" multipleItemSelectionAllowed="1" showAll="0" sortType="descending">
      <items>
        <item x="3"/>
        <item x="1"/>
        <item x="4"/>
        <item x="0"/>
        <item x="2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Gráficos e Comentários 3" cacheId="0" dataCaption="" compact="0" compactData="0">
  <location ref="A23:B49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Gráficos e Comentários 4" cacheId="0" dataCaption="" compact="0" compactData="0">
  <location ref="A53:B61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Gráficos e Comentários 5" cacheId="0" dataCaption="" compact="0" compactData="0">
  <location ref="A65:E68" firstHeaderRow="0" firstDataRow="2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descending">
      <items>
        <item x="0"/>
        <item x="1"/>
        <item t="default"/>
      </items>
    </pivotField>
  </pivotFields>
  <rowFields>
    <field x="16"/>
  </rowFields>
  <colFields>
    <field x="-2"/>
  </colFields>
  <dataFields>
    <dataField name="Total da Venda" fld="8" baseField="0"/>
    <dataField name="% Total da Venda" fld="8" showDataAs="percentOfCol" baseField="0" numFmtId="10"/>
    <dataField name="Quantidade de Itens" fld="6" baseField="0"/>
    <dataField name="% Quantidade de Itens" fld="6" showDataAs="percentOfCol" baseField="0" numFmtId="10"/>
  </dataFields>
</pivotTableDefinition>
</file>

<file path=xl/pivotTables/pivotTable7.xml><?xml version="1.0" encoding="utf-8"?>
<pivotTableDefinition xmlns="http://schemas.openxmlformats.org/spreadsheetml/2006/main" name="Gráficos e Comentários 6" cacheId="0" dataCaption="" compact="0" compactData="0">
  <location ref="A71:I7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4"/>
        <item x="0"/>
        <item x="3"/>
        <item x="1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8.xml><?xml version="1.0" encoding="utf-8"?>
<pivotTableDefinition xmlns="http://schemas.openxmlformats.org/spreadsheetml/2006/main" name="Gráficos e Comentários 7" cacheId="0" dataCaption="" compact="0" compactData="0">
  <location ref="A78:B84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numFmtId="49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Lucro" fld="13" baseField="0"/>
  </dataFields>
</pivotTableDefinition>
</file>

<file path=xl/pivotTables/pivotTable9.xml><?xml version="1.0" encoding="utf-8"?>
<pivotTableDefinition xmlns="http://schemas.openxmlformats.org/spreadsheetml/2006/main" name="Gráficos e Comentários 8" cacheId="0" dataCaption="" compact="0" compactData="0">
  <location ref="D78:E104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Lucro" fld="13" baseField="0"/>
  </dataFields>
</pivotTableDefinition>
</file>

<file path=xl/pivotTables/pivotTable10.xml><?xml version="1.0" encoding="utf-8"?>
<pivotTableDefinition xmlns="http://schemas.openxmlformats.org/spreadsheetml/2006/main" name="Gráficos e Comentários 9" cacheId="0" dataCaption="" compact="0" compactData="0">
  <location ref="F113:G121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axis="axisRow" compact="0" outline="0" multipleItemSelectionAllowed="1" showAll="0" sortType="ascending">
      <items>
        <item x="6"/>
        <item x="5"/>
        <item x="3"/>
        <item x="4"/>
        <item x="0"/>
        <item x="1"/>
        <item x="2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SUM of Total da Venda" fld="8" baseField="0"/>
  </dataFields>
</pivotTableDefinition>
</file>

<file path=xl/pivotTables/pivotTable11.xml><?xml version="1.0" encoding="utf-8"?>
<pivotTableDefinition xmlns="http://schemas.openxmlformats.org/spreadsheetml/2006/main" name="Relatório" cacheId="0" dataCaption="" compact="0" compactData="0">
  <location ref="A134:B16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Lucro" fld="13" baseField="0"/>
  </dataFields>
</pivotTableDefinition>
</file>

<file path=xl/pivotTables/pivotTable12.xml><?xml version="1.0" encoding="utf-8"?>
<pivotTableDefinition xmlns="http://schemas.openxmlformats.org/spreadsheetml/2006/main" name="Relatório 2" cacheId="0" dataCaption="" compact="0" compactData="0">
  <location ref="D134:E14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numFmtId="49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Produ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Preço Unitário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Total de Lucro" fld="13" baseField="0"/>
  </dataFields>
</pivotTableDefinition>
</file>

<file path=xl/tables/table1.xml><?xml version="1.0" encoding="utf-8"?>
<table xmlns="http://schemas.openxmlformats.org/spreadsheetml/2006/main" ref="A1:Q201" displayName="Tabela_1" name="Tabela_1" id="1">
  <autoFilter ref="$A$1:$Q$201"/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ês" id="11"/>
    <tableColumn name="Dia" id="12"/>
    <tableColumn name="Dia da Semana" id="13"/>
    <tableColumn name="Lucro" id="14"/>
    <tableColumn name="Gastos" id="15"/>
    <tableColumn name="ANO/MÊS" id="16"/>
    <tableColumn name="VIP" id="17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ref="A1:Q74" displayName="Tabela_2" name="Tabela_2" id="2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ês" id="11"/>
    <tableColumn name="Dia" id="12"/>
    <tableColumn name="Dia da Semana" id="13"/>
    <tableColumn name="Lucro" id="14"/>
    <tableColumn name="Gastos" id="15"/>
    <tableColumn name="ANO/MÊS" id="16"/>
    <tableColumn name="VIP" id="17"/>
  </tableColumns>
  <tableStyleInfo name="VIP-style" showColumnStripes="0" showFirstColumn="1" showLastColumn="1" showRowStripes="1"/>
</table>
</file>

<file path=xl/tables/table3.xml><?xml version="1.0" encoding="utf-8"?>
<table xmlns="http://schemas.openxmlformats.org/spreadsheetml/2006/main" ref="A1:Q128" displayName="Tabela_3" name="Tabela_3" id="3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ês" id="11"/>
    <tableColumn name="Dia" id="12"/>
    <tableColumn name="Dia da Semana" id="13"/>
    <tableColumn name="Lucro" id="14"/>
    <tableColumn name="Gastos" id="15"/>
    <tableColumn name="ANO/MÊS" id="16"/>
    <tableColumn name="VIP" id="17"/>
  </tableColumns>
  <tableStyleInfo name="Não V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10" Type="http://schemas.openxmlformats.org/officeDocument/2006/relationships/drawing" Target="../drawings/drawing5.xml"/><Relationship Id="rId9" Type="http://schemas.openxmlformats.org/officeDocument/2006/relationships/pivotTable" Target="../pivotTables/pivotTable10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pivotTable" Target="../pivotTables/pivotTable8.xml"/><Relationship Id="rId8" Type="http://schemas.openxmlformats.org/officeDocument/2006/relationships/pivotTable" Target="../pivotTables/pivot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14"/>
    <col customWidth="1" min="3" max="3" width="25.0"/>
    <col customWidth="1" min="4" max="4" width="15.86"/>
    <col customWidth="1" min="5" max="5" width="18.29"/>
    <col customWidth="1" min="6" max="6" width="17.43"/>
    <col customWidth="1" min="7" max="7" width="20.29"/>
    <col customWidth="1" min="8" max="8" width="23.43"/>
    <col customWidth="1" min="9" max="9" width="22.86"/>
    <col customWidth="1" min="10" max="10" width="13.86"/>
    <col customWidth="1" min="11" max="11" width="10.0"/>
    <col customWidth="1" min="12" max="12" width="9.14"/>
    <col customWidth="1" min="13" max="13" width="19.14"/>
    <col customWidth="1" min="14" max="14" width="14.71"/>
    <col customWidth="1" min="15" max="15" width="15.86"/>
    <col customWidth="1" min="16" max="16" width="15.14"/>
    <col customWidth="1" min="17" max="19" width="8.71"/>
    <col customWidth="1" min="20" max="20" width="11.29"/>
    <col customWidth="1" min="21" max="23" width="8.71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8" t="s">
        <v>15</v>
      </c>
      <c r="Q1" s="8" t="s">
        <v>16</v>
      </c>
    </row>
    <row r="2" ht="22.5" customHeight="1">
      <c r="A2" s="9">
        <v>45748.0</v>
      </c>
      <c r="B2" s="10">
        <v>8410.0</v>
      </c>
      <c r="C2" s="11" t="s">
        <v>17</v>
      </c>
      <c r="D2" s="11" t="s">
        <v>18</v>
      </c>
      <c r="E2" s="11" t="s">
        <v>19</v>
      </c>
      <c r="F2" s="11" t="s">
        <v>20</v>
      </c>
      <c r="G2" s="12">
        <v>9.0</v>
      </c>
      <c r="H2" s="13">
        <v>2134.06</v>
      </c>
      <c r="I2" s="14">
        <f t="shared" ref="I2:I201" si="1">G2*H2</f>
        <v>19206.54</v>
      </c>
      <c r="J2" s="15">
        <f t="shared" ref="J2:J201" si="2">YEAR(A2)</f>
        <v>2025</v>
      </c>
      <c r="K2" s="15">
        <f t="shared" ref="K2:K201" si="3">MONTH(A2)</f>
        <v>4</v>
      </c>
      <c r="L2" s="15">
        <f t="shared" ref="L2:L201" si="4">DAY(A2)</f>
        <v>1</v>
      </c>
      <c r="M2" s="15">
        <f t="shared" ref="M2:M201" si="5">WEEKDAY(A2,1)</f>
        <v>3</v>
      </c>
      <c r="N2" s="16">
        <f t="shared" ref="N2:N201" si="6">0.4*$I2</f>
        <v>7682.616</v>
      </c>
      <c r="O2" s="16">
        <f t="shared" ref="O2:O201" si="7">0.1*$I2</f>
        <v>1920.654</v>
      </c>
      <c r="P2" s="17" t="str">
        <f t="shared" ref="P2:P201" si="8">CONCATENATE(J2,"_",K2)</f>
        <v>2025_4</v>
      </c>
      <c r="Q2" s="17" t="str">
        <f t="shared" ref="Q2:Q201" si="9">IF(I2&gt;=10000,"VIP","Não VIP")</f>
        <v>VIP</v>
      </c>
    </row>
    <row r="3" ht="22.5" customHeight="1">
      <c r="A3" s="9">
        <v>45778.0</v>
      </c>
      <c r="B3" s="10">
        <v>2197.0</v>
      </c>
      <c r="C3" s="11" t="s">
        <v>21</v>
      </c>
      <c r="D3" s="11" t="s">
        <v>22</v>
      </c>
      <c r="E3" s="11" t="s">
        <v>23</v>
      </c>
      <c r="F3" s="11" t="s">
        <v>24</v>
      </c>
      <c r="G3" s="12">
        <v>1.0</v>
      </c>
      <c r="H3" s="13">
        <v>1350.68</v>
      </c>
      <c r="I3" s="14">
        <f t="shared" si="1"/>
        <v>1350.68</v>
      </c>
      <c r="J3" s="15">
        <f t="shared" si="2"/>
        <v>2025</v>
      </c>
      <c r="K3" s="15">
        <f t="shared" si="3"/>
        <v>5</v>
      </c>
      <c r="L3" s="15">
        <f t="shared" si="4"/>
        <v>1</v>
      </c>
      <c r="M3" s="15">
        <f t="shared" si="5"/>
        <v>5</v>
      </c>
      <c r="N3" s="16">
        <f t="shared" si="6"/>
        <v>540.272</v>
      </c>
      <c r="O3" s="16">
        <f t="shared" si="7"/>
        <v>135.068</v>
      </c>
      <c r="P3" s="17" t="str">
        <f t="shared" si="8"/>
        <v>2025_5</v>
      </c>
      <c r="Q3" s="17" t="str">
        <f t="shared" si="9"/>
        <v>Não VIP</v>
      </c>
      <c r="S3" s="18" t="s">
        <v>25</v>
      </c>
      <c r="T3" s="19">
        <f>AVERAGE(I:I)</f>
        <v>8412.6469</v>
      </c>
    </row>
    <row r="4" ht="22.5" customHeight="1">
      <c r="A4" s="9">
        <v>45778.0</v>
      </c>
      <c r="B4" s="10">
        <v>1960.0</v>
      </c>
      <c r="C4" s="11" t="s">
        <v>26</v>
      </c>
      <c r="D4" s="11" t="s">
        <v>27</v>
      </c>
      <c r="E4" s="11" t="s">
        <v>28</v>
      </c>
      <c r="F4" s="11" t="s">
        <v>29</v>
      </c>
      <c r="G4" s="12">
        <v>5.0</v>
      </c>
      <c r="H4" s="13">
        <v>220.11</v>
      </c>
      <c r="I4" s="14">
        <f t="shared" si="1"/>
        <v>1100.55</v>
      </c>
      <c r="J4" s="15">
        <f t="shared" si="2"/>
        <v>2025</v>
      </c>
      <c r="K4" s="15">
        <f t="shared" si="3"/>
        <v>5</v>
      </c>
      <c r="L4" s="15">
        <f t="shared" si="4"/>
        <v>1</v>
      </c>
      <c r="M4" s="15">
        <f t="shared" si="5"/>
        <v>5</v>
      </c>
      <c r="N4" s="16">
        <f t="shared" si="6"/>
        <v>440.22</v>
      </c>
      <c r="O4" s="16">
        <f t="shared" si="7"/>
        <v>110.055</v>
      </c>
      <c r="P4" s="17" t="str">
        <f t="shared" si="8"/>
        <v>2025_5</v>
      </c>
      <c r="Q4" s="17" t="str">
        <f t="shared" si="9"/>
        <v>Não VIP</v>
      </c>
    </row>
    <row r="5" ht="22.5" customHeight="1">
      <c r="A5" s="9">
        <v>45809.0</v>
      </c>
      <c r="B5" s="10">
        <v>6125.0</v>
      </c>
      <c r="C5" s="11" t="s">
        <v>30</v>
      </c>
      <c r="D5" s="11" t="s">
        <v>31</v>
      </c>
      <c r="E5" s="11" t="s">
        <v>32</v>
      </c>
      <c r="F5" s="11" t="s">
        <v>33</v>
      </c>
      <c r="G5" s="12">
        <v>2.0</v>
      </c>
      <c r="H5" s="13">
        <v>603.9</v>
      </c>
      <c r="I5" s="14">
        <f t="shared" si="1"/>
        <v>1207.8</v>
      </c>
      <c r="J5" s="15">
        <f t="shared" si="2"/>
        <v>2025</v>
      </c>
      <c r="K5" s="15">
        <f t="shared" si="3"/>
        <v>6</v>
      </c>
      <c r="L5" s="15">
        <f t="shared" si="4"/>
        <v>1</v>
      </c>
      <c r="M5" s="15">
        <f t="shared" si="5"/>
        <v>1</v>
      </c>
      <c r="N5" s="16">
        <f t="shared" si="6"/>
        <v>483.12</v>
      </c>
      <c r="O5" s="16">
        <f t="shared" si="7"/>
        <v>120.78</v>
      </c>
      <c r="P5" s="17" t="str">
        <f t="shared" si="8"/>
        <v>2025_6</v>
      </c>
      <c r="Q5" s="17" t="str">
        <f t="shared" si="9"/>
        <v>Não VIP</v>
      </c>
    </row>
    <row r="6" ht="22.5" customHeight="1">
      <c r="A6" s="9">
        <v>45809.0</v>
      </c>
      <c r="B6" s="10">
        <v>4924.0</v>
      </c>
      <c r="C6" s="11" t="s">
        <v>34</v>
      </c>
      <c r="D6" s="11" t="s">
        <v>22</v>
      </c>
      <c r="E6" s="11" t="s">
        <v>23</v>
      </c>
      <c r="F6" s="11" t="s">
        <v>35</v>
      </c>
      <c r="G6" s="12">
        <v>4.0</v>
      </c>
      <c r="H6" s="13">
        <v>2664.66</v>
      </c>
      <c r="I6" s="14">
        <f t="shared" si="1"/>
        <v>10658.64</v>
      </c>
      <c r="J6" s="15">
        <f t="shared" si="2"/>
        <v>2025</v>
      </c>
      <c r="K6" s="15">
        <f t="shared" si="3"/>
        <v>6</v>
      </c>
      <c r="L6" s="15">
        <f t="shared" si="4"/>
        <v>1</v>
      </c>
      <c r="M6" s="15">
        <f t="shared" si="5"/>
        <v>1</v>
      </c>
      <c r="N6" s="16">
        <f t="shared" si="6"/>
        <v>4263.456</v>
      </c>
      <c r="O6" s="16">
        <f t="shared" si="7"/>
        <v>1065.864</v>
      </c>
      <c r="P6" s="17" t="str">
        <f t="shared" si="8"/>
        <v>2025_6</v>
      </c>
      <c r="Q6" s="17" t="str">
        <f t="shared" si="9"/>
        <v>VIP</v>
      </c>
    </row>
    <row r="7" ht="22.5" customHeight="1">
      <c r="A7" s="9">
        <v>45690.0</v>
      </c>
      <c r="B7" s="10">
        <v>7359.0</v>
      </c>
      <c r="C7" s="11" t="s">
        <v>36</v>
      </c>
      <c r="D7" s="11" t="s">
        <v>37</v>
      </c>
      <c r="E7" s="11" t="s">
        <v>38</v>
      </c>
      <c r="F7" s="11" t="s">
        <v>39</v>
      </c>
      <c r="G7" s="12">
        <v>8.0</v>
      </c>
      <c r="H7" s="13">
        <v>1751.46</v>
      </c>
      <c r="I7" s="14">
        <f t="shared" si="1"/>
        <v>14011.68</v>
      </c>
      <c r="J7" s="15">
        <f t="shared" si="2"/>
        <v>2025</v>
      </c>
      <c r="K7" s="15">
        <f t="shared" si="3"/>
        <v>2</v>
      </c>
      <c r="L7" s="15">
        <f t="shared" si="4"/>
        <v>2</v>
      </c>
      <c r="M7" s="15">
        <f t="shared" si="5"/>
        <v>1</v>
      </c>
      <c r="N7" s="16">
        <f t="shared" si="6"/>
        <v>5604.672</v>
      </c>
      <c r="O7" s="16">
        <f t="shared" si="7"/>
        <v>1401.168</v>
      </c>
      <c r="P7" s="17" t="str">
        <f t="shared" si="8"/>
        <v>2025_2</v>
      </c>
      <c r="Q7" s="17" t="str">
        <f t="shared" si="9"/>
        <v>VIP</v>
      </c>
    </row>
    <row r="8" ht="22.5" customHeight="1">
      <c r="A8" s="9">
        <v>45690.0</v>
      </c>
      <c r="B8" s="10">
        <v>6714.0</v>
      </c>
      <c r="C8" s="11" t="s">
        <v>40</v>
      </c>
      <c r="D8" s="11" t="s">
        <v>31</v>
      </c>
      <c r="E8" s="11" t="s">
        <v>19</v>
      </c>
      <c r="F8" s="11" t="s">
        <v>41</v>
      </c>
      <c r="G8" s="12">
        <v>3.0</v>
      </c>
      <c r="H8" s="13">
        <v>2256.13</v>
      </c>
      <c r="I8" s="14">
        <f t="shared" si="1"/>
        <v>6768.39</v>
      </c>
      <c r="J8" s="15">
        <f t="shared" si="2"/>
        <v>2025</v>
      </c>
      <c r="K8" s="15">
        <f t="shared" si="3"/>
        <v>2</v>
      </c>
      <c r="L8" s="15">
        <f t="shared" si="4"/>
        <v>2</v>
      </c>
      <c r="M8" s="15">
        <f t="shared" si="5"/>
        <v>1</v>
      </c>
      <c r="N8" s="16">
        <f t="shared" si="6"/>
        <v>2707.356</v>
      </c>
      <c r="O8" s="16">
        <f t="shared" si="7"/>
        <v>676.839</v>
      </c>
      <c r="P8" s="17" t="str">
        <f t="shared" si="8"/>
        <v>2025_2</v>
      </c>
      <c r="Q8" s="17" t="str">
        <f t="shared" si="9"/>
        <v>Não VIP</v>
      </c>
    </row>
    <row r="9" ht="22.5" customHeight="1">
      <c r="A9" s="9">
        <v>45690.0</v>
      </c>
      <c r="B9" s="10">
        <v>3091.0</v>
      </c>
      <c r="C9" s="11" t="s">
        <v>42</v>
      </c>
      <c r="D9" s="11" t="s">
        <v>43</v>
      </c>
      <c r="E9" s="11" t="s">
        <v>19</v>
      </c>
      <c r="F9" s="11" t="s">
        <v>44</v>
      </c>
      <c r="G9" s="12">
        <v>1.0</v>
      </c>
      <c r="H9" s="13">
        <v>1718.77</v>
      </c>
      <c r="I9" s="14">
        <f t="shared" si="1"/>
        <v>1718.77</v>
      </c>
      <c r="J9" s="15">
        <f t="shared" si="2"/>
        <v>2025</v>
      </c>
      <c r="K9" s="15">
        <f t="shared" si="3"/>
        <v>2</v>
      </c>
      <c r="L9" s="15">
        <f t="shared" si="4"/>
        <v>2</v>
      </c>
      <c r="M9" s="15">
        <f t="shared" si="5"/>
        <v>1</v>
      </c>
      <c r="N9" s="16">
        <f t="shared" si="6"/>
        <v>687.508</v>
      </c>
      <c r="O9" s="16">
        <f t="shared" si="7"/>
        <v>171.877</v>
      </c>
      <c r="P9" s="17" t="str">
        <f t="shared" si="8"/>
        <v>2025_2</v>
      </c>
      <c r="Q9" s="17" t="str">
        <f t="shared" si="9"/>
        <v>Não VIP</v>
      </c>
    </row>
    <row r="10" ht="22.5" customHeight="1">
      <c r="A10" s="9">
        <v>45718.0</v>
      </c>
      <c r="B10" s="10">
        <v>9202.0</v>
      </c>
      <c r="C10" s="11" t="s">
        <v>45</v>
      </c>
      <c r="D10" s="11" t="s">
        <v>37</v>
      </c>
      <c r="E10" s="11" t="s">
        <v>19</v>
      </c>
      <c r="F10" s="11" t="s">
        <v>46</v>
      </c>
      <c r="G10" s="12">
        <v>5.0</v>
      </c>
      <c r="H10" s="13">
        <v>2533.86</v>
      </c>
      <c r="I10" s="14">
        <f t="shared" si="1"/>
        <v>12669.3</v>
      </c>
      <c r="J10" s="15">
        <f t="shared" si="2"/>
        <v>2025</v>
      </c>
      <c r="K10" s="15">
        <f t="shared" si="3"/>
        <v>3</v>
      </c>
      <c r="L10" s="15">
        <f t="shared" si="4"/>
        <v>2</v>
      </c>
      <c r="M10" s="15">
        <f t="shared" si="5"/>
        <v>1</v>
      </c>
      <c r="N10" s="16">
        <f t="shared" si="6"/>
        <v>5067.72</v>
      </c>
      <c r="O10" s="16">
        <f t="shared" si="7"/>
        <v>1266.93</v>
      </c>
      <c r="P10" s="17" t="str">
        <f t="shared" si="8"/>
        <v>2025_3</v>
      </c>
      <c r="Q10" s="17" t="str">
        <f t="shared" si="9"/>
        <v>VIP</v>
      </c>
    </row>
    <row r="11" ht="22.5" customHeight="1">
      <c r="A11" s="9">
        <v>45749.0</v>
      </c>
      <c r="B11" s="10">
        <v>3138.0</v>
      </c>
      <c r="C11" s="11" t="s">
        <v>47</v>
      </c>
      <c r="D11" s="11" t="s">
        <v>31</v>
      </c>
      <c r="E11" s="11" t="s">
        <v>28</v>
      </c>
      <c r="F11" s="11" t="s">
        <v>48</v>
      </c>
      <c r="G11" s="12">
        <v>5.0</v>
      </c>
      <c r="H11" s="13">
        <v>2043.33</v>
      </c>
      <c r="I11" s="14">
        <f t="shared" si="1"/>
        <v>10216.65</v>
      </c>
      <c r="J11" s="15">
        <f t="shared" si="2"/>
        <v>2025</v>
      </c>
      <c r="K11" s="15">
        <f t="shared" si="3"/>
        <v>4</v>
      </c>
      <c r="L11" s="15">
        <f t="shared" si="4"/>
        <v>2</v>
      </c>
      <c r="M11" s="15">
        <f t="shared" si="5"/>
        <v>4</v>
      </c>
      <c r="N11" s="16">
        <f t="shared" si="6"/>
        <v>4086.66</v>
      </c>
      <c r="O11" s="16">
        <f t="shared" si="7"/>
        <v>1021.665</v>
      </c>
      <c r="P11" s="17" t="str">
        <f t="shared" si="8"/>
        <v>2025_4</v>
      </c>
      <c r="Q11" s="17" t="str">
        <f t="shared" si="9"/>
        <v>VIP</v>
      </c>
    </row>
    <row r="12" ht="22.5" customHeight="1">
      <c r="A12" s="9">
        <v>45810.0</v>
      </c>
      <c r="B12" s="10">
        <v>7884.0</v>
      </c>
      <c r="C12" s="11" t="s">
        <v>49</v>
      </c>
      <c r="D12" s="11" t="s">
        <v>22</v>
      </c>
      <c r="E12" s="11" t="s">
        <v>28</v>
      </c>
      <c r="F12" s="11" t="s">
        <v>50</v>
      </c>
      <c r="G12" s="12">
        <v>1.0</v>
      </c>
      <c r="H12" s="13">
        <v>1733.16</v>
      </c>
      <c r="I12" s="14">
        <f t="shared" si="1"/>
        <v>1733.16</v>
      </c>
      <c r="J12" s="15">
        <f t="shared" si="2"/>
        <v>2025</v>
      </c>
      <c r="K12" s="15">
        <f t="shared" si="3"/>
        <v>6</v>
      </c>
      <c r="L12" s="15">
        <f t="shared" si="4"/>
        <v>2</v>
      </c>
      <c r="M12" s="15">
        <f t="shared" si="5"/>
        <v>2</v>
      </c>
      <c r="N12" s="16">
        <f t="shared" si="6"/>
        <v>693.264</v>
      </c>
      <c r="O12" s="16">
        <f t="shared" si="7"/>
        <v>173.316</v>
      </c>
      <c r="P12" s="17" t="str">
        <f t="shared" si="8"/>
        <v>2025_6</v>
      </c>
      <c r="Q12" s="17" t="str">
        <f t="shared" si="9"/>
        <v>Não VIP</v>
      </c>
    </row>
    <row r="13" ht="22.5" customHeight="1">
      <c r="A13" s="9">
        <v>45810.0</v>
      </c>
      <c r="B13" s="10">
        <v>2994.0</v>
      </c>
      <c r="C13" s="11" t="s">
        <v>51</v>
      </c>
      <c r="D13" s="11" t="s">
        <v>27</v>
      </c>
      <c r="E13" s="11" t="s">
        <v>23</v>
      </c>
      <c r="F13" s="11" t="s">
        <v>52</v>
      </c>
      <c r="G13" s="12">
        <v>8.0</v>
      </c>
      <c r="H13" s="13">
        <v>2263.35</v>
      </c>
      <c r="I13" s="14">
        <f t="shared" si="1"/>
        <v>18106.8</v>
      </c>
      <c r="J13" s="15">
        <f t="shared" si="2"/>
        <v>2025</v>
      </c>
      <c r="K13" s="15">
        <f t="shared" si="3"/>
        <v>6</v>
      </c>
      <c r="L13" s="15">
        <f t="shared" si="4"/>
        <v>2</v>
      </c>
      <c r="M13" s="15">
        <f t="shared" si="5"/>
        <v>2</v>
      </c>
      <c r="N13" s="16">
        <f t="shared" si="6"/>
        <v>7242.72</v>
      </c>
      <c r="O13" s="16">
        <f t="shared" si="7"/>
        <v>1810.68</v>
      </c>
      <c r="P13" s="17" t="str">
        <f t="shared" si="8"/>
        <v>2025_6</v>
      </c>
      <c r="Q13" s="17" t="str">
        <f t="shared" si="9"/>
        <v>VIP</v>
      </c>
    </row>
    <row r="14" ht="22.5" customHeight="1">
      <c r="A14" s="9">
        <v>45660.0</v>
      </c>
      <c r="B14" s="10">
        <v>8825.0</v>
      </c>
      <c r="C14" s="11" t="s">
        <v>53</v>
      </c>
      <c r="D14" s="11" t="s">
        <v>18</v>
      </c>
      <c r="E14" s="11" t="s">
        <v>38</v>
      </c>
      <c r="F14" s="11" t="s">
        <v>54</v>
      </c>
      <c r="G14" s="12">
        <v>7.0</v>
      </c>
      <c r="H14" s="13">
        <v>1498.73</v>
      </c>
      <c r="I14" s="14">
        <f t="shared" si="1"/>
        <v>10491.11</v>
      </c>
      <c r="J14" s="15">
        <f t="shared" si="2"/>
        <v>2025</v>
      </c>
      <c r="K14" s="15">
        <f t="shared" si="3"/>
        <v>1</v>
      </c>
      <c r="L14" s="15">
        <f t="shared" si="4"/>
        <v>3</v>
      </c>
      <c r="M14" s="15">
        <f t="shared" si="5"/>
        <v>6</v>
      </c>
      <c r="N14" s="16">
        <f t="shared" si="6"/>
        <v>4196.444</v>
      </c>
      <c r="O14" s="16">
        <f t="shared" si="7"/>
        <v>1049.111</v>
      </c>
      <c r="P14" s="17" t="str">
        <f t="shared" si="8"/>
        <v>2025_1</v>
      </c>
      <c r="Q14" s="17" t="str">
        <f t="shared" si="9"/>
        <v>VIP</v>
      </c>
    </row>
    <row r="15" ht="22.5" customHeight="1">
      <c r="A15" s="9">
        <v>45719.0</v>
      </c>
      <c r="B15" s="10">
        <v>8053.0</v>
      </c>
      <c r="C15" s="11" t="s">
        <v>55</v>
      </c>
      <c r="D15" s="11" t="s">
        <v>37</v>
      </c>
      <c r="E15" s="11" t="s">
        <v>32</v>
      </c>
      <c r="F15" s="11" t="s">
        <v>56</v>
      </c>
      <c r="G15" s="12">
        <v>2.0</v>
      </c>
      <c r="H15" s="13">
        <v>890.08</v>
      </c>
      <c r="I15" s="14">
        <f t="shared" si="1"/>
        <v>1780.16</v>
      </c>
      <c r="J15" s="15">
        <f t="shared" si="2"/>
        <v>2025</v>
      </c>
      <c r="K15" s="15">
        <f t="shared" si="3"/>
        <v>3</v>
      </c>
      <c r="L15" s="15">
        <f t="shared" si="4"/>
        <v>3</v>
      </c>
      <c r="M15" s="15">
        <f t="shared" si="5"/>
        <v>2</v>
      </c>
      <c r="N15" s="16">
        <f t="shared" si="6"/>
        <v>712.064</v>
      </c>
      <c r="O15" s="16">
        <f t="shared" si="7"/>
        <v>178.016</v>
      </c>
      <c r="P15" s="17" t="str">
        <f t="shared" si="8"/>
        <v>2025_3</v>
      </c>
      <c r="Q15" s="17" t="str">
        <f t="shared" si="9"/>
        <v>Não VIP</v>
      </c>
    </row>
    <row r="16" ht="22.5" customHeight="1">
      <c r="A16" s="9">
        <v>45750.0</v>
      </c>
      <c r="B16" s="10">
        <v>2731.0</v>
      </c>
      <c r="C16" s="11" t="s">
        <v>57</v>
      </c>
      <c r="D16" s="11" t="s">
        <v>43</v>
      </c>
      <c r="E16" s="11" t="s">
        <v>19</v>
      </c>
      <c r="F16" s="11" t="s">
        <v>58</v>
      </c>
      <c r="G16" s="12">
        <v>8.0</v>
      </c>
      <c r="H16" s="13">
        <v>1717.45</v>
      </c>
      <c r="I16" s="14">
        <f t="shared" si="1"/>
        <v>13739.6</v>
      </c>
      <c r="J16" s="15">
        <f t="shared" si="2"/>
        <v>2025</v>
      </c>
      <c r="K16" s="15">
        <f t="shared" si="3"/>
        <v>4</v>
      </c>
      <c r="L16" s="15">
        <f t="shared" si="4"/>
        <v>3</v>
      </c>
      <c r="M16" s="15">
        <f t="shared" si="5"/>
        <v>5</v>
      </c>
      <c r="N16" s="16">
        <f t="shared" si="6"/>
        <v>5495.84</v>
      </c>
      <c r="O16" s="16">
        <f t="shared" si="7"/>
        <v>1373.96</v>
      </c>
      <c r="P16" s="17" t="str">
        <f t="shared" si="8"/>
        <v>2025_4</v>
      </c>
      <c r="Q16" s="17" t="str">
        <f t="shared" si="9"/>
        <v>VIP</v>
      </c>
    </row>
    <row r="17" ht="22.5" customHeight="1">
      <c r="A17" s="9">
        <v>45780.0</v>
      </c>
      <c r="B17" s="10">
        <v>4059.0</v>
      </c>
      <c r="C17" s="11" t="s">
        <v>59</v>
      </c>
      <c r="D17" s="11" t="s">
        <v>37</v>
      </c>
      <c r="E17" s="11" t="s">
        <v>38</v>
      </c>
      <c r="F17" s="11" t="s">
        <v>60</v>
      </c>
      <c r="G17" s="12">
        <v>10.0</v>
      </c>
      <c r="H17" s="13">
        <v>520.7</v>
      </c>
      <c r="I17" s="14">
        <f t="shared" si="1"/>
        <v>5207</v>
      </c>
      <c r="J17" s="15">
        <f t="shared" si="2"/>
        <v>2025</v>
      </c>
      <c r="K17" s="15">
        <f t="shared" si="3"/>
        <v>5</v>
      </c>
      <c r="L17" s="15">
        <f t="shared" si="4"/>
        <v>3</v>
      </c>
      <c r="M17" s="15">
        <f t="shared" si="5"/>
        <v>7</v>
      </c>
      <c r="N17" s="16">
        <f t="shared" si="6"/>
        <v>2082.8</v>
      </c>
      <c r="O17" s="16">
        <f t="shared" si="7"/>
        <v>520.7</v>
      </c>
      <c r="P17" s="17" t="str">
        <f t="shared" si="8"/>
        <v>2025_5</v>
      </c>
      <c r="Q17" s="17" t="str">
        <f t="shared" si="9"/>
        <v>Não VIP</v>
      </c>
    </row>
    <row r="18" ht="22.5" customHeight="1">
      <c r="A18" s="9">
        <v>45661.0</v>
      </c>
      <c r="B18" s="10">
        <v>9583.0</v>
      </c>
      <c r="C18" s="11" t="s">
        <v>61</v>
      </c>
      <c r="D18" s="11" t="s">
        <v>31</v>
      </c>
      <c r="E18" s="11" t="s">
        <v>38</v>
      </c>
      <c r="F18" s="11" t="s">
        <v>60</v>
      </c>
      <c r="G18" s="12">
        <v>10.0</v>
      </c>
      <c r="H18" s="13">
        <v>1492.2</v>
      </c>
      <c r="I18" s="14">
        <f t="shared" si="1"/>
        <v>14922</v>
      </c>
      <c r="J18" s="15">
        <f t="shared" si="2"/>
        <v>2025</v>
      </c>
      <c r="K18" s="15">
        <f t="shared" si="3"/>
        <v>1</v>
      </c>
      <c r="L18" s="15">
        <f t="shared" si="4"/>
        <v>4</v>
      </c>
      <c r="M18" s="15">
        <f t="shared" si="5"/>
        <v>7</v>
      </c>
      <c r="N18" s="16">
        <f t="shared" si="6"/>
        <v>5968.8</v>
      </c>
      <c r="O18" s="16">
        <f t="shared" si="7"/>
        <v>1492.2</v>
      </c>
      <c r="P18" s="17" t="str">
        <f t="shared" si="8"/>
        <v>2025_1</v>
      </c>
      <c r="Q18" s="17" t="str">
        <f t="shared" si="9"/>
        <v>VIP</v>
      </c>
    </row>
    <row r="19" ht="22.5" customHeight="1">
      <c r="A19" s="9">
        <v>45692.0</v>
      </c>
      <c r="B19" s="10">
        <v>7698.0</v>
      </c>
      <c r="C19" s="11" t="s">
        <v>62</v>
      </c>
      <c r="D19" s="11" t="s">
        <v>22</v>
      </c>
      <c r="E19" s="11" t="s">
        <v>38</v>
      </c>
      <c r="F19" s="11" t="s">
        <v>39</v>
      </c>
      <c r="G19" s="12">
        <v>4.0</v>
      </c>
      <c r="H19" s="13">
        <v>2315.37</v>
      </c>
      <c r="I19" s="14">
        <f t="shared" si="1"/>
        <v>9261.48</v>
      </c>
      <c r="J19" s="15">
        <f t="shared" si="2"/>
        <v>2025</v>
      </c>
      <c r="K19" s="15">
        <f t="shared" si="3"/>
        <v>2</v>
      </c>
      <c r="L19" s="15">
        <f t="shared" si="4"/>
        <v>4</v>
      </c>
      <c r="M19" s="15">
        <f t="shared" si="5"/>
        <v>3</v>
      </c>
      <c r="N19" s="16">
        <f t="shared" si="6"/>
        <v>3704.592</v>
      </c>
      <c r="O19" s="16">
        <f t="shared" si="7"/>
        <v>926.148</v>
      </c>
      <c r="P19" s="17" t="str">
        <f t="shared" si="8"/>
        <v>2025_2</v>
      </c>
      <c r="Q19" s="17" t="str">
        <f t="shared" si="9"/>
        <v>Não VIP</v>
      </c>
    </row>
    <row r="20" ht="22.5" customHeight="1">
      <c r="A20" s="9">
        <v>45692.0</v>
      </c>
      <c r="B20" s="10">
        <v>6695.0</v>
      </c>
      <c r="C20" s="11" t="s">
        <v>47</v>
      </c>
      <c r="D20" s="11" t="s">
        <v>43</v>
      </c>
      <c r="E20" s="11" t="s">
        <v>32</v>
      </c>
      <c r="F20" s="11" t="s">
        <v>33</v>
      </c>
      <c r="G20" s="12">
        <v>4.0</v>
      </c>
      <c r="H20" s="13">
        <v>1182.29</v>
      </c>
      <c r="I20" s="14">
        <f t="shared" si="1"/>
        <v>4729.16</v>
      </c>
      <c r="J20" s="15">
        <f t="shared" si="2"/>
        <v>2025</v>
      </c>
      <c r="K20" s="15">
        <f t="shared" si="3"/>
        <v>2</v>
      </c>
      <c r="L20" s="15">
        <f t="shared" si="4"/>
        <v>4</v>
      </c>
      <c r="M20" s="15">
        <f t="shared" si="5"/>
        <v>3</v>
      </c>
      <c r="N20" s="16">
        <f t="shared" si="6"/>
        <v>1891.664</v>
      </c>
      <c r="O20" s="16">
        <f t="shared" si="7"/>
        <v>472.916</v>
      </c>
      <c r="P20" s="17" t="str">
        <f t="shared" si="8"/>
        <v>2025_2</v>
      </c>
      <c r="Q20" s="17" t="str">
        <f t="shared" si="9"/>
        <v>Não VIP</v>
      </c>
    </row>
    <row r="21" ht="15.75" customHeight="1">
      <c r="A21" s="9">
        <v>45692.0</v>
      </c>
      <c r="B21" s="10">
        <v>8984.0</v>
      </c>
      <c r="C21" s="11" t="s">
        <v>63</v>
      </c>
      <c r="D21" s="11" t="s">
        <v>18</v>
      </c>
      <c r="E21" s="11" t="s">
        <v>19</v>
      </c>
      <c r="F21" s="11" t="s">
        <v>20</v>
      </c>
      <c r="G21" s="12">
        <v>9.0</v>
      </c>
      <c r="H21" s="13">
        <v>2022.72</v>
      </c>
      <c r="I21" s="14">
        <f t="shared" si="1"/>
        <v>18204.48</v>
      </c>
      <c r="J21" s="15">
        <f t="shared" si="2"/>
        <v>2025</v>
      </c>
      <c r="K21" s="15">
        <f t="shared" si="3"/>
        <v>2</v>
      </c>
      <c r="L21" s="15">
        <f t="shared" si="4"/>
        <v>4</v>
      </c>
      <c r="M21" s="15">
        <f t="shared" si="5"/>
        <v>3</v>
      </c>
      <c r="N21" s="16">
        <f t="shared" si="6"/>
        <v>7281.792</v>
      </c>
      <c r="O21" s="16">
        <f t="shared" si="7"/>
        <v>1820.448</v>
      </c>
      <c r="P21" s="17" t="str">
        <f t="shared" si="8"/>
        <v>2025_2</v>
      </c>
      <c r="Q21" s="17" t="str">
        <f t="shared" si="9"/>
        <v>VIP</v>
      </c>
    </row>
    <row r="22" ht="15.75" customHeight="1">
      <c r="A22" s="9">
        <v>45720.0</v>
      </c>
      <c r="B22" s="10">
        <v>5978.0</v>
      </c>
      <c r="C22" s="11" t="s">
        <v>64</v>
      </c>
      <c r="D22" s="11" t="s">
        <v>65</v>
      </c>
      <c r="E22" s="11" t="s">
        <v>38</v>
      </c>
      <c r="F22" s="11" t="s">
        <v>66</v>
      </c>
      <c r="G22" s="12">
        <v>10.0</v>
      </c>
      <c r="H22" s="13">
        <v>1674.7</v>
      </c>
      <c r="I22" s="14">
        <f t="shared" si="1"/>
        <v>16747</v>
      </c>
      <c r="J22" s="15">
        <f t="shared" si="2"/>
        <v>2025</v>
      </c>
      <c r="K22" s="15">
        <f t="shared" si="3"/>
        <v>3</v>
      </c>
      <c r="L22" s="15">
        <f t="shared" si="4"/>
        <v>4</v>
      </c>
      <c r="M22" s="15">
        <f t="shared" si="5"/>
        <v>3</v>
      </c>
      <c r="N22" s="16">
        <f t="shared" si="6"/>
        <v>6698.8</v>
      </c>
      <c r="O22" s="16">
        <f t="shared" si="7"/>
        <v>1674.7</v>
      </c>
      <c r="P22" s="17" t="str">
        <f t="shared" si="8"/>
        <v>2025_3</v>
      </c>
      <c r="Q22" s="17" t="str">
        <f t="shared" si="9"/>
        <v>VIP</v>
      </c>
    </row>
    <row r="23" ht="15.75" customHeight="1">
      <c r="A23" s="9">
        <v>45751.0</v>
      </c>
      <c r="B23" s="10">
        <v>6700.0</v>
      </c>
      <c r="C23" s="11" t="s">
        <v>67</v>
      </c>
      <c r="D23" s="11" t="s">
        <v>43</v>
      </c>
      <c r="E23" s="11" t="s">
        <v>38</v>
      </c>
      <c r="F23" s="11" t="s">
        <v>68</v>
      </c>
      <c r="G23" s="12">
        <v>7.0</v>
      </c>
      <c r="H23" s="13">
        <v>2205.46</v>
      </c>
      <c r="I23" s="14">
        <f t="shared" si="1"/>
        <v>15438.22</v>
      </c>
      <c r="J23" s="15">
        <f t="shared" si="2"/>
        <v>2025</v>
      </c>
      <c r="K23" s="15">
        <f t="shared" si="3"/>
        <v>4</v>
      </c>
      <c r="L23" s="15">
        <f t="shared" si="4"/>
        <v>4</v>
      </c>
      <c r="M23" s="15">
        <f t="shared" si="5"/>
        <v>6</v>
      </c>
      <c r="N23" s="16">
        <f t="shared" si="6"/>
        <v>6175.288</v>
      </c>
      <c r="O23" s="16">
        <f t="shared" si="7"/>
        <v>1543.822</v>
      </c>
      <c r="P23" s="17" t="str">
        <f t="shared" si="8"/>
        <v>2025_4</v>
      </c>
      <c r="Q23" s="17" t="str">
        <f t="shared" si="9"/>
        <v>VIP</v>
      </c>
    </row>
    <row r="24" ht="15.75" customHeight="1">
      <c r="A24" s="9">
        <v>45751.0</v>
      </c>
      <c r="B24" s="10">
        <v>4907.0</v>
      </c>
      <c r="C24" s="11" t="s">
        <v>69</v>
      </c>
      <c r="D24" s="11" t="s">
        <v>27</v>
      </c>
      <c r="E24" s="11" t="s">
        <v>38</v>
      </c>
      <c r="F24" s="11" t="s">
        <v>66</v>
      </c>
      <c r="G24" s="12">
        <v>10.0</v>
      </c>
      <c r="H24" s="13">
        <v>2262.74</v>
      </c>
      <c r="I24" s="14">
        <f t="shared" si="1"/>
        <v>22627.4</v>
      </c>
      <c r="J24" s="15">
        <f t="shared" si="2"/>
        <v>2025</v>
      </c>
      <c r="K24" s="15">
        <f t="shared" si="3"/>
        <v>4</v>
      </c>
      <c r="L24" s="15">
        <f t="shared" si="4"/>
        <v>4</v>
      </c>
      <c r="M24" s="15">
        <f t="shared" si="5"/>
        <v>6</v>
      </c>
      <c r="N24" s="16">
        <f t="shared" si="6"/>
        <v>9050.96</v>
      </c>
      <c r="O24" s="16">
        <f t="shared" si="7"/>
        <v>2262.74</v>
      </c>
      <c r="P24" s="17" t="str">
        <f t="shared" si="8"/>
        <v>2025_4</v>
      </c>
      <c r="Q24" s="17" t="str">
        <f t="shared" si="9"/>
        <v>VIP</v>
      </c>
    </row>
    <row r="25" ht="15.75" customHeight="1">
      <c r="A25" s="9">
        <v>45781.0</v>
      </c>
      <c r="B25" s="10">
        <v>2848.0</v>
      </c>
      <c r="C25" s="11" t="s">
        <v>70</v>
      </c>
      <c r="D25" s="11" t="s">
        <v>27</v>
      </c>
      <c r="E25" s="11" t="s">
        <v>19</v>
      </c>
      <c r="F25" s="11" t="s">
        <v>41</v>
      </c>
      <c r="G25" s="12">
        <v>3.0</v>
      </c>
      <c r="H25" s="13">
        <v>1450.82</v>
      </c>
      <c r="I25" s="14">
        <f t="shared" si="1"/>
        <v>4352.46</v>
      </c>
      <c r="J25" s="15">
        <f t="shared" si="2"/>
        <v>2025</v>
      </c>
      <c r="K25" s="15">
        <f t="shared" si="3"/>
        <v>5</v>
      </c>
      <c r="L25" s="15">
        <f t="shared" si="4"/>
        <v>4</v>
      </c>
      <c r="M25" s="15">
        <f t="shared" si="5"/>
        <v>1</v>
      </c>
      <c r="N25" s="16">
        <f t="shared" si="6"/>
        <v>1740.984</v>
      </c>
      <c r="O25" s="16">
        <f t="shared" si="7"/>
        <v>435.246</v>
      </c>
      <c r="P25" s="17" t="str">
        <f t="shared" si="8"/>
        <v>2025_5</v>
      </c>
      <c r="Q25" s="17" t="str">
        <f t="shared" si="9"/>
        <v>Não VIP</v>
      </c>
    </row>
    <row r="26" ht="15.75" customHeight="1">
      <c r="A26" s="9">
        <v>45662.0</v>
      </c>
      <c r="B26" s="10">
        <v>5746.0</v>
      </c>
      <c r="C26" s="11" t="s">
        <v>71</v>
      </c>
      <c r="D26" s="11" t="s">
        <v>22</v>
      </c>
      <c r="E26" s="11" t="s">
        <v>23</v>
      </c>
      <c r="F26" s="11" t="s">
        <v>35</v>
      </c>
      <c r="G26" s="12">
        <v>3.0</v>
      </c>
      <c r="H26" s="13">
        <v>2806.52</v>
      </c>
      <c r="I26" s="14">
        <f t="shared" si="1"/>
        <v>8419.56</v>
      </c>
      <c r="J26" s="15">
        <f t="shared" si="2"/>
        <v>2025</v>
      </c>
      <c r="K26" s="15">
        <f t="shared" si="3"/>
        <v>1</v>
      </c>
      <c r="L26" s="15">
        <f t="shared" si="4"/>
        <v>5</v>
      </c>
      <c r="M26" s="15">
        <f t="shared" si="5"/>
        <v>1</v>
      </c>
      <c r="N26" s="16">
        <f t="shared" si="6"/>
        <v>3367.824</v>
      </c>
      <c r="O26" s="16">
        <f t="shared" si="7"/>
        <v>841.956</v>
      </c>
      <c r="P26" s="17" t="str">
        <f t="shared" si="8"/>
        <v>2025_1</v>
      </c>
      <c r="Q26" s="17" t="str">
        <f t="shared" si="9"/>
        <v>Não VIP</v>
      </c>
    </row>
    <row r="27" ht="15.75" customHeight="1">
      <c r="A27" s="9">
        <v>45693.0</v>
      </c>
      <c r="B27" s="10">
        <v>5553.0</v>
      </c>
      <c r="C27" s="11" t="s">
        <v>72</v>
      </c>
      <c r="D27" s="11" t="s">
        <v>27</v>
      </c>
      <c r="E27" s="11" t="s">
        <v>19</v>
      </c>
      <c r="F27" s="11" t="s">
        <v>46</v>
      </c>
      <c r="G27" s="12">
        <v>7.0</v>
      </c>
      <c r="H27" s="13">
        <v>1653.32</v>
      </c>
      <c r="I27" s="14">
        <f t="shared" si="1"/>
        <v>11573.24</v>
      </c>
      <c r="J27" s="15">
        <f t="shared" si="2"/>
        <v>2025</v>
      </c>
      <c r="K27" s="15">
        <f t="shared" si="3"/>
        <v>2</v>
      </c>
      <c r="L27" s="15">
        <f t="shared" si="4"/>
        <v>5</v>
      </c>
      <c r="M27" s="15">
        <f t="shared" si="5"/>
        <v>4</v>
      </c>
      <c r="N27" s="16">
        <f t="shared" si="6"/>
        <v>4629.296</v>
      </c>
      <c r="O27" s="16">
        <f t="shared" si="7"/>
        <v>1157.324</v>
      </c>
      <c r="P27" s="17" t="str">
        <f t="shared" si="8"/>
        <v>2025_2</v>
      </c>
      <c r="Q27" s="17" t="str">
        <f t="shared" si="9"/>
        <v>VIP</v>
      </c>
    </row>
    <row r="28" ht="15.75" customHeight="1">
      <c r="A28" s="9">
        <v>45752.0</v>
      </c>
      <c r="B28" s="10">
        <v>6444.0</v>
      </c>
      <c r="C28" s="11" t="s">
        <v>73</v>
      </c>
      <c r="D28" s="11" t="s">
        <v>37</v>
      </c>
      <c r="E28" s="11" t="s">
        <v>23</v>
      </c>
      <c r="F28" s="11" t="s">
        <v>35</v>
      </c>
      <c r="G28" s="12">
        <v>4.0</v>
      </c>
      <c r="H28" s="13">
        <v>2161.24</v>
      </c>
      <c r="I28" s="14">
        <f t="shared" si="1"/>
        <v>8644.96</v>
      </c>
      <c r="J28" s="15">
        <f t="shared" si="2"/>
        <v>2025</v>
      </c>
      <c r="K28" s="15">
        <f t="shared" si="3"/>
        <v>4</v>
      </c>
      <c r="L28" s="15">
        <f t="shared" si="4"/>
        <v>5</v>
      </c>
      <c r="M28" s="15">
        <f t="shared" si="5"/>
        <v>7</v>
      </c>
      <c r="N28" s="16">
        <f t="shared" si="6"/>
        <v>3457.984</v>
      </c>
      <c r="O28" s="16">
        <f t="shared" si="7"/>
        <v>864.496</v>
      </c>
      <c r="P28" s="17" t="str">
        <f t="shared" si="8"/>
        <v>2025_4</v>
      </c>
      <c r="Q28" s="17" t="str">
        <f t="shared" si="9"/>
        <v>Não VIP</v>
      </c>
    </row>
    <row r="29" ht="15.75" customHeight="1">
      <c r="A29" s="9">
        <v>45752.0</v>
      </c>
      <c r="B29" s="10">
        <v>2219.0</v>
      </c>
      <c r="C29" s="11" t="s">
        <v>74</v>
      </c>
      <c r="D29" s="11" t="s">
        <v>31</v>
      </c>
      <c r="E29" s="11" t="s">
        <v>28</v>
      </c>
      <c r="F29" s="11" t="s">
        <v>50</v>
      </c>
      <c r="G29" s="12">
        <v>5.0</v>
      </c>
      <c r="H29" s="13">
        <v>2426.59</v>
      </c>
      <c r="I29" s="14">
        <f t="shared" si="1"/>
        <v>12132.95</v>
      </c>
      <c r="J29" s="15">
        <f t="shared" si="2"/>
        <v>2025</v>
      </c>
      <c r="K29" s="15">
        <f t="shared" si="3"/>
        <v>4</v>
      </c>
      <c r="L29" s="15">
        <f t="shared" si="4"/>
        <v>5</v>
      </c>
      <c r="M29" s="15">
        <f t="shared" si="5"/>
        <v>7</v>
      </c>
      <c r="N29" s="16">
        <f t="shared" si="6"/>
        <v>4853.18</v>
      </c>
      <c r="O29" s="16">
        <f t="shared" si="7"/>
        <v>1213.295</v>
      </c>
      <c r="P29" s="17" t="str">
        <f t="shared" si="8"/>
        <v>2025_4</v>
      </c>
      <c r="Q29" s="17" t="str">
        <f t="shared" si="9"/>
        <v>VIP</v>
      </c>
    </row>
    <row r="30" ht="15.75" customHeight="1">
      <c r="A30" s="9">
        <v>45782.0</v>
      </c>
      <c r="B30" s="10">
        <v>9305.0</v>
      </c>
      <c r="C30" s="11" t="s">
        <v>75</v>
      </c>
      <c r="D30" s="11" t="s">
        <v>18</v>
      </c>
      <c r="E30" s="11" t="s">
        <v>28</v>
      </c>
      <c r="F30" s="11" t="s">
        <v>76</v>
      </c>
      <c r="G30" s="12">
        <v>3.0</v>
      </c>
      <c r="H30" s="13">
        <v>366.45</v>
      </c>
      <c r="I30" s="14">
        <f t="shared" si="1"/>
        <v>1099.35</v>
      </c>
      <c r="J30" s="15">
        <f t="shared" si="2"/>
        <v>2025</v>
      </c>
      <c r="K30" s="15">
        <f t="shared" si="3"/>
        <v>5</v>
      </c>
      <c r="L30" s="15">
        <f t="shared" si="4"/>
        <v>5</v>
      </c>
      <c r="M30" s="15">
        <f t="shared" si="5"/>
        <v>2</v>
      </c>
      <c r="N30" s="16">
        <f t="shared" si="6"/>
        <v>439.74</v>
      </c>
      <c r="O30" s="16">
        <f t="shared" si="7"/>
        <v>109.935</v>
      </c>
      <c r="P30" s="17" t="str">
        <f t="shared" si="8"/>
        <v>2025_5</v>
      </c>
      <c r="Q30" s="17" t="str">
        <f t="shared" si="9"/>
        <v>Não VIP</v>
      </c>
    </row>
    <row r="31" ht="15.75" customHeight="1">
      <c r="A31" s="9">
        <v>45782.0</v>
      </c>
      <c r="B31" s="10">
        <v>4010.0</v>
      </c>
      <c r="C31" s="11" t="s">
        <v>77</v>
      </c>
      <c r="D31" s="11" t="s">
        <v>65</v>
      </c>
      <c r="E31" s="11" t="s">
        <v>32</v>
      </c>
      <c r="F31" s="11" t="s">
        <v>78</v>
      </c>
      <c r="G31" s="12">
        <v>8.0</v>
      </c>
      <c r="H31" s="13">
        <v>1872.52</v>
      </c>
      <c r="I31" s="14">
        <f t="shared" si="1"/>
        <v>14980.16</v>
      </c>
      <c r="J31" s="15">
        <f t="shared" si="2"/>
        <v>2025</v>
      </c>
      <c r="K31" s="15">
        <f t="shared" si="3"/>
        <v>5</v>
      </c>
      <c r="L31" s="15">
        <f t="shared" si="4"/>
        <v>5</v>
      </c>
      <c r="M31" s="15">
        <f t="shared" si="5"/>
        <v>2</v>
      </c>
      <c r="N31" s="16">
        <f t="shared" si="6"/>
        <v>5992.064</v>
      </c>
      <c r="O31" s="16">
        <f t="shared" si="7"/>
        <v>1498.016</v>
      </c>
      <c r="P31" s="17" t="str">
        <f t="shared" si="8"/>
        <v>2025_5</v>
      </c>
      <c r="Q31" s="17" t="str">
        <f t="shared" si="9"/>
        <v>VIP</v>
      </c>
    </row>
    <row r="32" ht="15.75" customHeight="1">
      <c r="A32" s="9">
        <v>45663.0</v>
      </c>
      <c r="B32" s="10">
        <v>1549.0</v>
      </c>
      <c r="C32" s="11" t="s">
        <v>79</v>
      </c>
      <c r="D32" s="11" t="s">
        <v>22</v>
      </c>
      <c r="E32" s="11" t="s">
        <v>23</v>
      </c>
      <c r="F32" s="11" t="s">
        <v>80</v>
      </c>
      <c r="G32" s="12">
        <v>4.0</v>
      </c>
      <c r="H32" s="13">
        <v>819.91</v>
      </c>
      <c r="I32" s="14">
        <f t="shared" si="1"/>
        <v>3279.64</v>
      </c>
      <c r="J32" s="15">
        <f t="shared" si="2"/>
        <v>2025</v>
      </c>
      <c r="K32" s="15">
        <f t="shared" si="3"/>
        <v>1</v>
      </c>
      <c r="L32" s="15">
        <f t="shared" si="4"/>
        <v>6</v>
      </c>
      <c r="M32" s="15">
        <f t="shared" si="5"/>
        <v>2</v>
      </c>
      <c r="N32" s="16">
        <f t="shared" si="6"/>
        <v>1311.856</v>
      </c>
      <c r="O32" s="16">
        <f t="shared" si="7"/>
        <v>327.964</v>
      </c>
      <c r="P32" s="17" t="str">
        <f t="shared" si="8"/>
        <v>2025_1</v>
      </c>
      <c r="Q32" s="17" t="str">
        <f t="shared" si="9"/>
        <v>Não VIP</v>
      </c>
    </row>
    <row r="33" ht="15.75" customHeight="1">
      <c r="A33" s="9">
        <v>45694.0</v>
      </c>
      <c r="B33" s="10">
        <v>3819.0</v>
      </c>
      <c r="C33" s="11" t="s">
        <v>81</v>
      </c>
      <c r="D33" s="11" t="s">
        <v>22</v>
      </c>
      <c r="E33" s="11" t="s">
        <v>19</v>
      </c>
      <c r="F33" s="11" t="s">
        <v>20</v>
      </c>
      <c r="G33" s="12">
        <v>9.0</v>
      </c>
      <c r="H33" s="13">
        <v>610.97</v>
      </c>
      <c r="I33" s="14">
        <f t="shared" si="1"/>
        <v>5498.73</v>
      </c>
      <c r="J33" s="15">
        <f t="shared" si="2"/>
        <v>2025</v>
      </c>
      <c r="K33" s="15">
        <f t="shared" si="3"/>
        <v>2</v>
      </c>
      <c r="L33" s="15">
        <f t="shared" si="4"/>
        <v>6</v>
      </c>
      <c r="M33" s="15">
        <f t="shared" si="5"/>
        <v>5</v>
      </c>
      <c r="N33" s="16">
        <f t="shared" si="6"/>
        <v>2199.492</v>
      </c>
      <c r="O33" s="16">
        <f t="shared" si="7"/>
        <v>549.873</v>
      </c>
      <c r="P33" s="17" t="str">
        <f t="shared" si="8"/>
        <v>2025_2</v>
      </c>
      <c r="Q33" s="17" t="str">
        <f t="shared" si="9"/>
        <v>Não VIP</v>
      </c>
    </row>
    <row r="34" ht="15.75" customHeight="1">
      <c r="A34" s="9">
        <v>45753.0</v>
      </c>
      <c r="B34" s="10">
        <v>7345.0</v>
      </c>
      <c r="C34" s="11" t="s">
        <v>82</v>
      </c>
      <c r="D34" s="11" t="s">
        <v>27</v>
      </c>
      <c r="E34" s="11" t="s">
        <v>19</v>
      </c>
      <c r="F34" s="11" t="s">
        <v>46</v>
      </c>
      <c r="G34" s="12">
        <v>2.0</v>
      </c>
      <c r="H34" s="13">
        <v>510.08</v>
      </c>
      <c r="I34" s="14">
        <f t="shared" si="1"/>
        <v>1020.16</v>
      </c>
      <c r="J34" s="15">
        <f t="shared" si="2"/>
        <v>2025</v>
      </c>
      <c r="K34" s="15">
        <f t="shared" si="3"/>
        <v>4</v>
      </c>
      <c r="L34" s="15">
        <f t="shared" si="4"/>
        <v>6</v>
      </c>
      <c r="M34" s="15">
        <f t="shared" si="5"/>
        <v>1</v>
      </c>
      <c r="N34" s="16">
        <f t="shared" si="6"/>
        <v>408.064</v>
      </c>
      <c r="O34" s="16">
        <f t="shared" si="7"/>
        <v>102.016</v>
      </c>
      <c r="P34" s="17" t="str">
        <f t="shared" si="8"/>
        <v>2025_4</v>
      </c>
      <c r="Q34" s="17" t="str">
        <f t="shared" si="9"/>
        <v>Não VIP</v>
      </c>
    </row>
    <row r="35" ht="15.75" customHeight="1">
      <c r="A35" s="9">
        <v>45783.0</v>
      </c>
      <c r="B35" s="10">
        <v>4392.0</v>
      </c>
      <c r="C35" s="11" t="s">
        <v>83</v>
      </c>
      <c r="D35" s="11" t="s">
        <v>43</v>
      </c>
      <c r="E35" s="11" t="s">
        <v>32</v>
      </c>
      <c r="F35" s="11" t="s">
        <v>56</v>
      </c>
      <c r="G35" s="12">
        <v>10.0</v>
      </c>
      <c r="H35" s="13">
        <v>2302.59</v>
      </c>
      <c r="I35" s="14">
        <f t="shared" si="1"/>
        <v>23025.9</v>
      </c>
      <c r="J35" s="15">
        <f t="shared" si="2"/>
        <v>2025</v>
      </c>
      <c r="K35" s="15">
        <f t="shared" si="3"/>
        <v>5</v>
      </c>
      <c r="L35" s="15">
        <f t="shared" si="4"/>
        <v>6</v>
      </c>
      <c r="M35" s="15">
        <f t="shared" si="5"/>
        <v>3</v>
      </c>
      <c r="N35" s="16">
        <f t="shared" si="6"/>
        <v>9210.36</v>
      </c>
      <c r="O35" s="16">
        <f t="shared" si="7"/>
        <v>2302.59</v>
      </c>
      <c r="P35" s="17" t="str">
        <f t="shared" si="8"/>
        <v>2025_5</v>
      </c>
      <c r="Q35" s="17" t="str">
        <f t="shared" si="9"/>
        <v>VIP</v>
      </c>
    </row>
    <row r="36" ht="15.75" customHeight="1">
      <c r="A36" s="9">
        <v>45783.0</v>
      </c>
      <c r="B36" s="10">
        <v>4708.0</v>
      </c>
      <c r="C36" s="11" t="s">
        <v>84</v>
      </c>
      <c r="D36" s="11" t="s">
        <v>31</v>
      </c>
      <c r="E36" s="11" t="s">
        <v>32</v>
      </c>
      <c r="F36" s="11" t="s">
        <v>85</v>
      </c>
      <c r="G36" s="12">
        <v>3.0</v>
      </c>
      <c r="H36" s="13">
        <v>2759.63</v>
      </c>
      <c r="I36" s="14">
        <f t="shared" si="1"/>
        <v>8278.89</v>
      </c>
      <c r="J36" s="15">
        <f t="shared" si="2"/>
        <v>2025</v>
      </c>
      <c r="K36" s="15">
        <f t="shared" si="3"/>
        <v>5</v>
      </c>
      <c r="L36" s="15">
        <f t="shared" si="4"/>
        <v>6</v>
      </c>
      <c r="M36" s="15">
        <f t="shared" si="5"/>
        <v>3</v>
      </c>
      <c r="N36" s="16">
        <f t="shared" si="6"/>
        <v>3311.556</v>
      </c>
      <c r="O36" s="16">
        <f t="shared" si="7"/>
        <v>827.889</v>
      </c>
      <c r="P36" s="17" t="str">
        <f t="shared" si="8"/>
        <v>2025_5</v>
      </c>
      <c r="Q36" s="17" t="str">
        <f t="shared" si="9"/>
        <v>Não VIP</v>
      </c>
    </row>
    <row r="37" ht="15.75" customHeight="1">
      <c r="A37" s="9">
        <v>45814.0</v>
      </c>
      <c r="B37" s="10">
        <v>2405.0</v>
      </c>
      <c r="C37" s="11" t="s">
        <v>86</v>
      </c>
      <c r="D37" s="11" t="s">
        <v>22</v>
      </c>
      <c r="E37" s="11" t="s">
        <v>23</v>
      </c>
      <c r="F37" s="11" t="s">
        <v>35</v>
      </c>
      <c r="G37" s="12">
        <v>8.0</v>
      </c>
      <c r="H37" s="13">
        <v>1072.44</v>
      </c>
      <c r="I37" s="14">
        <f t="shared" si="1"/>
        <v>8579.52</v>
      </c>
      <c r="J37" s="15">
        <f t="shared" si="2"/>
        <v>2025</v>
      </c>
      <c r="K37" s="15">
        <f t="shared" si="3"/>
        <v>6</v>
      </c>
      <c r="L37" s="15">
        <f t="shared" si="4"/>
        <v>6</v>
      </c>
      <c r="M37" s="15">
        <f t="shared" si="5"/>
        <v>6</v>
      </c>
      <c r="N37" s="16">
        <f t="shared" si="6"/>
        <v>3431.808</v>
      </c>
      <c r="O37" s="16">
        <f t="shared" si="7"/>
        <v>857.952</v>
      </c>
      <c r="P37" s="17" t="str">
        <f t="shared" si="8"/>
        <v>2025_6</v>
      </c>
      <c r="Q37" s="17" t="str">
        <f t="shared" si="9"/>
        <v>Não VIP</v>
      </c>
    </row>
    <row r="38" ht="15.75" customHeight="1">
      <c r="A38" s="9">
        <v>45723.0</v>
      </c>
      <c r="B38" s="10">
        <v>8290.0</v>
      </c>
      <c r="C38" s="11" t="s">
        <v>87</v>
      </c>
      <c r="D38" s="11" t="s">
        <v>43</v>
      </c>
      <c r="E38" s="11" t="s">
        <v>32</v>
      </c>
      <c r="F38" s="11" t="s">
        <v>78</v>
      </c>
      <c r="G38" s="12">
        <v>9.0</v>
      </c>
      <c r="H38" s="13">
        <v>2962.51</v>
      </c>
      <c r="I38" s="14">
        <f t="shared" si="1"/>
        <v>26662.59</v>
      </c>
      <c r="J38" s="15">
        <f t="shared" si="2"/>
        <v>2025</v>
      </c>
      <c r="K38" s="15">
        <f t="shared" si="3"/>
        <v>3</v>
      </c>
      <c r="L38" s="15">
        <f t="shared" si="4"/>
        <v>7</v>
      </c>
      <c r="M38" s="15">
        <f t="shared" si="5"/>
        <v>6</v>
      </c>
      <c r="N38" s="16">
        <f t="shared" si="6"/>
        <v>10665.036</v>
      </c>
      <c r="O38" s="16">
        <f t="shared" si="7"/>
        <v>2666.259</v>
      </c>
      <c r="P38" s="17" t="str">
        <f t="shared" si="8"/>
        <v>2025_3</v>
      </c>
      <c r="Q38" s="17" t="str">
        <f t="shared" si="9"/>
        <v>VIP</v>
      </c>
    </row>
    <row r="39" ht="15.75" customHeight="1">
      <c r="A39" s="9">
        <v>45723.0</v>
      </c>
      <c r="B39" s="10">
        <v>3003.0</v>
      </c>
      <c r="C39" s="11" t="s">
        <v>88</v>
      </c>
      <c r="D39" s="11" t="s">
        <v>27</v>
      </c>
      <c r="E39" s="11" t="s">
        <v>38</v>
      </c>
      <c r="F39" s="11" t="s">
        <v>39</v>
      </c>
      <c r="G39" s="12">
        <v>10.0</v>
      </c>
      <c r="H39" s="13">
        <v>1798.72</v>
      </c>
      <c r="I39" s="14">
        <f t="shared" si="1"/>
        <v>17987.2</v>
      </c>
      <c r="J39" s="15">
        <f t="shared" si="2"/>
        <v>2025</v>
      </c>
      <c r="K39" s="15">
        <f t="shared" si="3"/>
        <v>3</v>
      </c>
      <c r="L39" s="15">
        <f t="shared" si="4"/>
        <v>7</v>
      </c>
      <c r="M39" s="15">
        <f t="shared" si="5"/>
        <v>6</v>
      </c>
      <c r="N39" s="16">
        <f t="shared" si="6"/>
        <v>7194.88</v>
      </c>
      <c r="O39" s="16">
        <f t="shared" si="7"/>
        <v>1798.72</v>
      </c>
      <c r="P39" s="17" t="str">
        <f t="shared" si="8"/>
        <v>2025_3</v>
      </c>
      <c r="Q39" s="17" t="str">
        <f t="shared" si="9"/>
        <v>VIP</v>
      </c>
    </row>
    <row r="40" ht="15.75" customHeight="1">
      <c r="A40" s="9">
        <v>45754.0</v>
      </c>
      <c r="B40" s="10">
        <v>1825.0</v>
      </c>
      <c r="C40" s="11" t="s">
        <v>89</v>
      </c>
      <c r="D40" s="11" t="s">
        <v>31</v>
      </c>
      <c r="E40" s="11" t="s">
        <v>38</v>
      </c>
      <c r="F40" s="11" t="s">
        <v>39</v>
      </c>
      <c r="G40" s="12">
        <v>2.0</v>
      </c>
      <c r="H40" s="13">
        <v>1489.84</v>
      </c>
      <c r="I40" s="14">
        <f t="shared" si="1"/>
        <v>2979.68</v>
      </c>
      <c r="J40" s="15">
        <f t="shared" si="2"/>
        <v>2025</v>
      </c>
      <c r="K40" s="15">
        <f t="shared" si="3"/>
        <v>4</v>
      </c>
      <c r="L40" s="15">
        <f t="shared" si="4"/>
        <v>7</v>
      </c>
      <c r="M40" s="15">
        <f t="shared" si="5"/>
        <v>2</v>
      </c>
      <c r="N40" s="16">
        <f t="shared" si="6"/>
        <v>1191.872</v>
      </c>
      <c r="O40" s="16">
        <f t="shared" si="7"/>
        <v>297.968</v>
      </c>
      <c r="P40" s="17" t="str">
        <f t="shared" si="8"/>
        <v>2025_4</v>
      </c>
      <c r="Q40" s="17" t="str">
        <f t="shared" si="9"/>
        <v>Não VIP</v>
      </c>
    </row>
    <row r="41" ht="15.75" customHeight="1">
      <c r="A41" s="9">
        <v>45784.0</v>
      </c>
      <c r="B41" s="10">
        <v>2199.0</v>
      </c>
      <c r="C41" s="11" t="s">
        <v>90</v>
      </c>
      <c r="D41" s="11" t="s">
        <v>43</v>
      </c>
      <c r="E41" s="11" t="s">
        <v>19</v>
      </c>
      <c r="F41" s="11" t="s">
        <v>58</v>
      </c>
      <c r="G41" s="12">
        <v>3.0</v>
      </c>
      <c r="H41" s="13">
        <v>2105.64</v>
      </c>
      <c r="I41" s="14">
        <f t="shared" si="1"/>
        <v>6316.92</v>
      </c>
      <c r="J41" s="15">
        <f t="shared" si="2"/>
        <v>2025</v>
      </c>
      <c r="K41" s="15">
        <f t="shared" si="3"/>
        <v>5</v>
      </c>
      <c r="L41" s="15">
        <f t="shared" si="4"/>
        <v>7</v>
      </c>
      <c r="M41" s="15">
        <f t="shared" si="5"/>
        <v>4</v>
      </c>
      <c r="N41" s="16">
        <f t="shared" si="6"/>
        <v>2526.768</v>
      </c>
      <c r="O41" s="16">
        <f t="shared" si="7"/>
        <v>631.692</v>
      </c>
      <c r="P41" s="17" t="str">
        <f t="shared" si="8"/>
        <v>2025_5</v>
      </c>
      <c r="Q41" s="17" t="str">
        <f t="shared" si="9"/>
        <v>Não VIP</v>
      </c>
    </row>
    <row r="42" ht="15.75" customHeight="1">
      <c r="A42" s="9">
        <v>45815.0</v>
      </c>
      <c r="B42" s="10">
        <v>9915.0</v>
      </c>
      <c r="C42" s="11" t="s">
        <v>91</v>
      </c>
      <c r="D42" s="11" t="s">
        <v>65</v>
      </c>
      <c r="E42" s="11" t="s">
        <v>23</v>
      </c>
      <c r="F42" s="11" t="s">
        <v>80</v>
      </c>
      <c r="G42" s="12">
        <v>2.0</v>
      </c>
      <c r="H42" s="13">
        <v>370.94</v>
      </c>
      <c r="I42" s="14">
        <f t="shared" si="1"/>
        <v>741.88</v>
      </c>
      <c r="J42" s="15">
        <f t="shared" si="2"/>
        <v>2025</v>
      </c>
      <c r="K42" s="15">
        <f t="shared" si="3"/>
        <v>6</v>
      </c>
      <c r="L42" s="15">
        <f t="shared" si="4"/>
        <v>7</v>
      </c>
      <c r="M42" s="15">
        <f t="shared" si="5"/>
        <v>7</v>
      </c>
      <c r="N42" s="16">
        <f t="shared" si="6"/>
        <v>296.752</v>
      </c>
      <c r="O42" s="16">
        <f t="shared" si="7"/>
        <v>74.188</v>
      </c>
      <c r="P42" s="17" t="str">
        <f t="shared" si="8"/>
        <v>2025_6</v>
      </c>
      <c r="Q42" s="17" t="str">
        <f t="shared" si="9"/>
        <v>Não VIP</v>
      </c>
    </row>
    <row r="43" ht="15.75" customHeight="1">
      <c r="A43" s="9">
        <v>45696.0</v>
      </c>
      <c r="B43" s="10">
        <v>8349.0</v>
      </c>
      <c r="C43" s="11" t="s">
        <v>92</v>
      </c>
      <c r="D43" s="11" t="s">
        <v>37</v>
      </c>
      <c r="E43" s="11" t="s">
        <v>38</v>
      </c>
      <c r="F43" s="11" t="s">
        <v>54</v>
      </c>
      <c r="G43" s="12">
        <v>4.0</v>
      </c>
      <c r="H43" s="13">
        <v>2260.45</v>
      </c>
      <c r="I43" s="14">
        <f t="shared" si="1"/>
        <v>9041.8</v>
      </c>
      <c r="J43" s="15">
        <f t="shared" si="2"/>
        <v>2025</v>
      </c>
      <c r="K43" s="15">
        <f t="shared" si="3"/>
        <v>2</v>
      </c>
      <c r="L43" s="15">
        <f t="shared" si="4"/>
        <v>8</v>
      </c>
      <c r="M43" s="15">
        <f t="shared" si="5"/>
        <v>7</v>
      </c>
      <c r="N43" s="16">
        <f t="shared" si="6"/>
        <v>3616.72</v>
      </c>
      <c r="O43" s="16">
        <f t="shared" si="7"/>
        <v>904.18</v>
      </c>
      <c r="P43" s="17" t="str">
        <f t="shared" si="8"/>
        <v>2025_2</v>
      </c>
      <c r="Q43" s="17" t="str">
        <f t="shared" si="9"/>
        <v>Não VIP</v>
      </c>
    </row>
    <row r="44" ht="15.75" customHeight="1">
      <c r="A44" s="9">
        <v>45785.0</v>
      </c>
      <c r="B44" s="10">
        <v>8542.0</v>
      </c>
      <c r="C44" s="11" t="s">
        <v>93</v>
      </c>
      <c r="D44" s="11" t="s">
        <v>22</v>
      </c>
      <c r="E44" s="11" t="s">
        <v>28</v>
      </c>
      <c r="F44" s="11" t="s">
        <v>29</v>
      </c>
      <c r="G44" s="12">
        <v>1.0</v>
      </c>
      <c r="H44" s="13">
        <v>2541.62</v>
      </c>
      <c r="I44" s="14">
        <f t="shared" si="1"/>
        <v>2541.62</v>
      </c>
      <c r="J44" s="15">
        <f t="shared" si="2"/>
        <v>2025</v>
      </c>
      <c r="K44" s="15">
        <f t="shared" si="3"/>
        <v>5</v>
      </c>
      <c r="L44" s="15">
        <f t="shared" si="4"/>
        <v>8</v>
      </c>
      <c r="M44" s="15">
        <f t="shared" si="5"/>
        <v>5</v>
      </c>
      <c r="N44" s="16">
        <f t="shared" si="6"/>
        <v>1016.648</v>
      </c>
      <c r="O44" s="16">
        <f t="shared" si="7"/>
        <v>254.162</v>
      </c>
      <c r="P44" s="17" t="str">
        <f t="shared" si="8"/>
        <v>2025_5</v>
      </c>
      <c r="Q44" s="17" t="str">
        <f t="shared" si="9"/>
        <v>Não VIP</v>
      </c>
    </row>
    <row r="45" ht="15.75" customHeight="1">
      <c r="A45" s="9">
        <v>45816.0</v>
      </c>
      <c r="B45" s="10">
        <v>5689.0</v>
      </c>
      <c r="C45" s="11" t="s">
        <v>94</v>
      </c>
      <c r="D45" s="11" t="s">
        <v>37</v>
      </c>
      <c r="E45" s="11" t="s">
        <v>38</v>
      </c>
      <c r="F45" s="11" t="s">
        <v>60</v>
      </c>
      <c r="G45" s="12">
        <v>8.0</v>
      </c>
      <c r="H45" s="13">
        <v>481.94</v>
      </c>
      <c r="I45" s="14">
        <f t="shared" si="1"/>
        <v>3855.52</v>
      </c>
      <c r="J45" s="15">
        <f t="shared" si="2"/>
        <v>2025</v>
      </c>
      <c r="K45" s="15">
        <f t="shared" si="3"/>
        <v>6</v>
      </c>
      <c r="L45" s="15">
        <f t="shared" si="4"/>
        <v>8</v>
      </c>
      <c r="M45" s="15">
        <f t="shared" si="5"/>
        <v>1</v>
      </c>
      <c r="N45" s="16">
        <f t="shared" si="6"/>
        <v>1542.208</v>
      </c>
      <c r="O45" s="16">
        <f t="shared" si="7"/>
        <v>385.552</v>
      </c>
      <c r="P45" s="17" t="str">
        <f t="shared" si="8"/>
        <v>2025_6</v>
      </c>
      <c r="Q45" s="17" t="str">
        <f t="shared" si="9"/>
        <v>Não VIP</v>
      </c>
    </row>
    <row r="46" ht="15.75" customHeight="1">
      <c r="A46" s="9">
        <v>45666.0</v>
      </c>
      <c r="B46" s="10">
        <v>1322.0</v>
      </c>
      <c r="C46" s="11" t="s">
        <v>95</v>
      </c>
      <c r="D46" s="11" t="s">
        <v>22</v>
      </c>
      <c r="E46" s="11" t="s">
        <v>28</v>
      </c>
      <c r="F46" s="11" t="s">
        <v>29</v>
      </c>
      <c r="G46" s="12">
        <v>5.0</v>
      </c>
      <c r="H46" s="13">
        <v>1070.3</v>
      </c>
      <c r="I46" s="14">
        <f t="shared" si="1"/>
        <v>5351.5</v>
      </c>
      <c r="J46" s="15">
        <f t="shared" si="2"/>
        <v>2025</v>
      </c>
      <c r="K46" s="15">
        <f t="shared" si="3"/>
        <v>1</v>
      </c>
      <c r="L46" s="15">
        <f t="shared" si="4"/>
        <v>9</v>
      </c>
      <c r="M46" s="15">
        <f t="shared" si="5"/>
        <v>5</v>
      </c>
      <c r="N46" s="16">
        <f t="shared" si="6"/>
        <v>2140.6</v>
      </c>
      <c r="O46" s="16">
        <f t="shared" si="7"/>
        <v>535.15</v>
      </c>
      <c r="P46" s="17" t="str">
        <f t="shared" si="8"/>
        <v>2025_1</v>
      </c>
      <c r="Q46" s="17" t="str">
        <f t="shared" si="9"/>
        <v>Não VIP</v>
      </c>
    </row>
    <row r="47" ht="15.75" customHeight="1">
      <c r="A47" s="9">
        <v>45697.0</v>
      </c>
      <c r="B47" s="10">
        <v>2982.0</v>
      </c>
      <c r="C47" s="11" t="s">
        <v>96</v>
      </c>
      <c r="D47" s="11" t="s">
        <v>43</v>
      </c>
      <c r="E47" s="11" t="s">
        <v>38</v>
      </c>
      <c r="F47" s="11" t="s">
        <v>68</v>
      </c>
      <c r="G47" s="12">
        <v>2.0</v>
      </c>
      <c r="H47" s="13">
        <v>2008.93</v>
      </c>
      <c r="I47" s="14">
        <f t="shared" si="1"/>
        <v>4017.86</v>
      </c>
      <c r="J47" s="15">
        <f t="shared" si="2"/>
        <v>2025</v>
      </c>
      <c r="K47" s="15">
        <f t="shared" si="3"/>
        <v>2</v>
      </c>
      <c r="L47" s="15">
        <f t="shared" si="4"/>
        <v>9</v>
      </c>
      <c r="M47" s="15">
        <f t="shared" si="5"/>
        <v>1</v>
      </c>
      <c r="N47" s="16">
        <f t="shared" si="6"/>
        <v>1607.144</v>
      </c>
      <c r="O47" s="16">
        <f t="shared" si="7"/>
        <v>401.786</v>
      </c>
      <c r="P47" s="17" t="str">
        <f t="shared" si="8"/>
        <v>2025_2</v>
      </c>
      <c r="Q47" s="17" t="str">
        <f t="shared" si="9"/>
        <v>Não VIP</v>
      </c>
    </row>
    <row r="48" ht="15.75" customHeight="1">
      <c r="A48" s="9">
        <v>45725.0</v>
      </c>
      <c r="B48" s="10">
        <v>1498.0</v>
      </c>
      <c r="C48" s="11" t="s">
        <v>97</v>
      </c>
      <c r="D48" s="11" t="s">
        <v>31</v>
      </c>
      <c r="E48" s="11" t="s">
        <v>28</v>
      </c>
      <c r="F48" s="11" t="s">
        <v>98</v>
      </c>
      <c r="G48" s="12">
        <v>3.0</v>
      </c>
      <c r="H48" s="13">
        <v>1257.06</v>
      </c>
      <c r="I48" s="14">
        <f t="shared" si="1"/>
        <v>3771.18</v>
      </c>
      <c r="J48" s="15">
        <f t="shared" si="2"/>
        <v>2025</v>
      </c>
      <c r="K48" s="15">
        <f t="shared" si="3"/>
        <v>3</v>
      </c>
      <c r="L48" s="15">
        <f t="shared" si="4"/>
        <v>9</v>
      </c>
      <c r="M48" s="15">
        <f t="shared" si="5"/>
        <v>1</v>
      </c>
      <c r="N48" s="16">
        <f t="shared" si="6"/>
        <v>1508.472</v>
      </c>
      <c r="O48" s="16">
        <f t="shared" si="7"/>
        <v>377.118</v>
      </c>
      <c r="P48" s="17" t="str">
        <f t="shared" si="8"/>
        <v>2025_3</v>
      </c>
      <c r="Q48" s="17" t="str">
        <f t="shared" si="9"/>
        <v>Não VIP</v>
      </c>
    </row>
    <row r="49" ht="15.75" customHeight="1">
      <c r="A49" s="9">
        <v>45786.0</v>
      </c>
      <c r="B49" s="10">
        <v>3280.0</v>
      </c>
      <c r="C49" s="11" t="s">
        <v>99</v>
      </c>
      <c r="D49" s="11" t="s">
        <v>22</v>
      </c>
      <c r="E49" s="11" t="s">
        <v>32</v>
      </c>
      <c r="F49" s="11" t="s">
        <v>100</v>
      </c>
      <c r="G49" s="12">
        <v>10.0</v>
      </c>
      <c r="H49" s="13">
        <v>2368.75</v>
      </c>
      <c r="I49" s="14">
        <f t="shared" si="1"/>
        <v>23687.5</v>
      </c>
      <c r="J49" s="15">
        <f t="shared" si="2"/>
        <v>2025</v>
      </c>
      <c r="K49" s="15">
        <f t="shared" si="3"/>
        <v>5</v>
      </c>
      <c r="L49" s="15">
        <f t="shared" si="4"/>
        <v>9</v>
      </c>
      <c r="M49" s="15">
        <f t="shared" si="5"/>
        <v>6</v>
      </c>
      <c r="N49" s="16">
        <f t="shared" si="6"/>
        <v>9475</v>
      </c>
      <c r="O49" s="16">
        <f t="shared" si="7"/>
        <v>2368.75</v>
      </c>
      <c r="P49" s="17" t="str">
        <f t="shared" si="8"/>
        <v>2025_5</v>
      </c>
      <c r="Q49" s="17" t="str">
        <f t="shared" si="9"/>
        <v>VIP</v>
      </c>
    </row>
    <row r="50" ht="15.75" customHeight="1">
      <c r="A50" s="9">
        <v>45786.0</v>
      </c>
      <c r="B50" s="10">
        <v>3360.0</v>
      </c>
      <c r="C50" s="11" t="s">
        <v>101</v>
      </c>
      <c r="D50" s="11" t="s">
        <v>27</v>
      </c>
      <c r="E50" s="11" t="s">
        <v>19</v>
      </c>
      <c r="F50" s="11" t="s">
        <v>58</v>
      </c>
      <c r="G50" s="12">
        <v>4.0</v>
      </c>
      <c r="H50" s="13">
        <v>2032.29</v>
      </c>
      <c r="I50" s="14">
        <f t="shared" si="1"/>
        <v>8129.16</v>
      </c>
      <c r="J50" s="15">
        <f t="shared" si="2"/>
        <v>2025</v>
      </c>
      <c r="K50" s="15">
        <f t="shared" si="3"/>
        <v>5</v>
      </c>
      <c r="L50" s="15">
        <f t="shared" si="4"/>
        <v>9</v>
      </c>
      <c r="M50" s="15">
        <f t="shared" si="5"/>
        <v>6</v>
      </c>
      <c r="N50" s="16">
        <f t="shared" si="6"/>
        <v>3251.664</v>
      </c>
      <c r="O50" s="16">
        <f t="shared" si="7"/>
        <v>812.916</v>
      </c>
      <c r="P50" s="17" t="str">
        <f t="shared" si="8"/>
        <v>2025_5</v>
      </c>
      <c r="Q50" s="17" t="str">
        <f t="shared" si="9"/>
        <v>Não VIP</v>
      </c>
    </row>
    <row r="51" ht="15.75" customHeight="1">
      <c r="A51" s="9">
        <v>45667.0</v>
      </c>
      <c r="B51" s="10">
        <v>5970.0</v>
      </c>
      <c r="C51" s="11" t="s">
        <v>102</v>
      </c>
      <c r="D51" s="11" t="s">
        <v>27</v>
      </c>
      <c r="E51" s="11" t="s">
        <v>19</v>
      </c>
      <c r="F51" s="11" t="s">
        <v>44</v>
      </c>
      <c r="G51" s="12">
        <v>2.0</v>
      </c>
      <c r="H51" s="13">
        <v>2631.91</v>
      </c>
      <c r="I51" s="14">
        <f t="shared" si="1"/>
        <v>5263.82</v>
      </c>
      <c r="J51" s="15">
        <f t="shared" si="2"/>
        <v>2025</v>
      </c>
      <c r="K51" s="15">
        <f t="shared" si="3"/>
        <v>1</v>
      </c>
      <c r="L51" s="15">
        <f t="shared" si="4"/>
        <v>10</v>
      </c>
      <c r="M51" s="15">
        <f t="shared" si="5"/>
        <v>6</v>
      </c>
      <c r="N51" s="16">
        <f t="shared" si="6"/>
        <v>2105.528</v>
      </c>
      <c r="O51" s="16">
        <f t="shared" si="7"/>
        <v>526.382</v>
      </c>
      <c r="P51" s="17" t="str">
        <f t="shared" si="8"/>
        <v>2025_1</v>
      </c>
      <c r="Q51" s="17" t="str">
        <f t="shared" si="9"/>
        <v>Não VIP</v>
      </c>
    </row>
    <row r="52" ht="15.75" customHeight="1">
      <c r="A52" s="9">
        <v>45726.0</v>
      </c>
      <c r="B52" s="10">
        <v>8421.0</v>
      </c>
      <c r="C52" s="11" t="s">
        <v>103</v>
      </c>
      <c r="D52" s="11" t="s">
        <v>65</v>
      </c>
      <c r="E52" s="11" t="s">
        <v>19</v>
      </c>
      <c r="F52" s="11" t="s">
        <v>20</v>
      </c>
      <c r="G52" s="12">
        <v>1.0</v>
      </c>
      <c r="H52" s="13">
        <v>841.55</v>
      </c>
      <c r="I52" s="14">
        <f t="shared" si="1"/>
        <v>841.55</v>
      </c>
      <c r="J52" s="15">
        <f t="shared" si="2"/>
        <v>2025</v>
      </c>
      <c r="K52" s="15">
        <f t="shared" si="3"/>
        <v>3</v>
      </c>
      <c r="L52" s="15">
        <f t="shared" si="4"/>
        <v>10</v>
      </c>
      <c r="M52" s="15">
        <f t="shared" si="5"/>
        <v>2</v>
      </c>
      <c r="N52" s="16">
        <f t="shared" si="6"/>
        <v>336.62</v>
      </c>
      <c r="O52" s="16">
        <f t="shared" si="7"/>
        <v>84.155</v>
      </c>
      <c r="P52" s="17" t="str">
        <f t="shared" si="8"/>
        <v>2025_3</v>
      </c>
      <c r="Q52" s="17" t="str">
        <f t="shared" si="9"/>
        <v>Não VIP</v>
      </c>
    </row>
    <row r="53" ht="15.75" customHeight="1">
      <c r="A53" s="9">
        <v>45726.0</v>
      </c>
      <c r="B53" s="10">
        <v>6741.0</v>
      </c>
      <c r="C53" s="11" t="s">
        <v>104</v>
      </c>
      <c r="D53" s="11" t="s">
        <v>37</v>
      </c>
      <c r="E53" s="11" t="s">
        <v>38</v>
      </c>
      <c r="F53" s="11" t="s">
        <v>60</v>
      </c>
      <c r="G53" s="12">
        <v>9.0</v>
      </c>
      <c r="H53" s="13">
        <v>2897.17</v>
      </c>
      <c r="I53" s="14">
        <f t="shared" si="1"/>
        <v>26074.53</v>
      </c>
      <c r="J53" s="15">
        <f t="shared" si="2"/>
        <v>2025</v>
      </c>
      <c r="K53" s="15">
        <f t="shared" si="3"/>
        <v>3</v>
      </c>
      <c r="L53" s="15">
        <f t="shared" si="4"/>
        <v>10</v>
      </c>
      <c r="M53" s="15">
        <f t="shared" si="5"/>
        <v>2</v>
      </c>
      <c r="N53" s="16">
        <f t="shared" si="6"/>
        <v>10429.812</v>
      </c>
      <c r="O53" s="16">
        <f t="shared" si="7"/>
        <v>2607.453</v>
      </c>
      <c r="P53" s="17" t="str">
        <f t="shared" si="8"/>
        <v>2025_3</v>
      </c>
      <c r="Q53" s="17" t="str">
        <f t="shared" si="9"/>
        <v>VIP</v>
      </c>
    </row>
    <row r="54" ht="15.75" customHeight="1">
      <c r="A54" s="9">
        <v>45757.0</v>
      </c>
      <c r="B54" s="10">
        <v>1305.0</v>
      </c>
      <c r="C54" s="11" t="s">
        <v>105</v>
      </c>
      <c r="D54" s="11" t="s">
        <v>43</v>
      </c>
      <c r="E54" s="11" t="s">
        <v>19</v>
      </c>
      <c r="F54" s="11" t="s">
        <v>41</v>
      </c>
      <c r="G54" s="12">
        <v>8.0</v>
      </c>
      <c r="H54" s="13">
        <v>624.63</v>
      </c>
      <c r="I54" s="14">
        <f t="shared" si="1"/>
        <v>4997.04</v>
      </c>
      <c r="J54" s="15">
        <f t="shared" si="2"/>
        <v>2025</v>
      </c>
      <c r="K54" s="15">
        <f t="shared" si="3"/>
        <v>4</v>
      </c>
      <c r="L54" s="15">
        <f t="shared" si="4"/>
        <v>10</v>
      </c>
      <c r="M54" s="15">
        <f t="shared" si="5"/>
        <v>5</v>
      </c>
      <c r="N54" s="16">
        <f t="shared" si="6"/>
        <v>1998.816</v>
      </c>
      <c r="O54" s="16">
        <f t="shared" si="7"/>
        <v>499.704</v>
      </c>
      <c r="P54" s="17" t="str">
        <f t="shared" si="8"/>
        <v>2025_4</v>
      </c>
      <c r="Q54" s="17" t="str">
        <f t="shared" si="9"/>
        <v>Não VIP</v>
      </c>
    </row>
    <row r="55" ht="15.75" customHeight="1">
      <c r="A55" s="9">
        <v>45757.0</v>
      </c>
      <c r="B55" s="10">
        <v>4693.0</v>
      </c>
      <c r="C55" s="11" t="s">
        <v>106</v>
      </c>
      <c r="D55" s="11" t="s">
        <v>43</v>
      </c>
      <c r="E55" s="11" t="s">
        <v>38</v>
      </c>
      <c r="F55" s="11" t="s">
        <v>68</v>
      </c>
      <c r="G55" s="12">
        <v>7.0</v>
      </c>
      <c r="H55" s="13">
        <v>2258.73</v>
      </c>
      <c r="I55" s="14">
        <f t="shared" si="1"/>
        <v>15811.11</v>
      </c>
      <c r="J55" s="15">
        <f t="shared" si="2"/>
        <v>2025</v>
      </c>
      <c r="K55" s="15">
        <f t="shared" si="3"/>
        <v>4</v>
      </c>
      <c r="L55" s="15">
        <f t="shared" si="4"/>
        <v>10</v>
      </c>
      <c r="M55" s="15">
        <f t="shared" si="5"/>
        <v>5</v>
      </c>
      <c r="N55" s="16">
        <f t="shared" si="6"/>
        <v>6324.444</v>
      </c>
      <c r="O55" s="16">
        <f t="shared" si="7"/>
        <v>1581.111</v>
      </c>
      <c r="P55" s="17" t="str">
        <f t="shared" si="8"/>
        <v>2025_4</v>
      </c>
      <c r="Q55" s="17" t="str">
        <f t="shared" si="9"/>
        <v>VIP</v>
      </c>
    </row>
    <row r="56" ht="15.75" customHeight="1">
      <c r="A56" s="9">
        <v>45787.0</v>
      </c>
      <c r="B56" s="10">
        <v>7166.0</v>
      </c>
      <c r="C56" s="11" t="s">
        <v>107</v>
      </c>
      <c r="D56" s="11" t="s">
        <v>65</v>
      </c>
      <c r="E56" s="11" t="s">
        <v>19</v>
      </c>
      <c r="F56" s="11" t="s">
        <v>58</v>
      </c>
      <c r="G56" s="12">
        <v>10.0</v>
      </c>
      <c r="H56" s="13">
        <v>1462.31</v>
      </c>
      <c r="I56" s="14">
        <f t="shared" si="1"/>
        <v>14623.1</v>
      </c>
      <c r="J56" s="15">
        <f t="shared" si="2"/>
        <v>2025</v>
      </c>
      <c r="K56" s="15">
        <f t="shared" si="3"/>
        <v>5</v>
      </c>
      <c r="L56" s="15">
        <f t="shared" si="4"/>
        <v>10</v>
      </c>
      <c r="M56" s="15">
        <f t="shared" si="5"/>
        <v>7</v>
      </c>
      <c r="N56" s="16">
        <f t="shared" si="6"/>
        <v>5849.24</v>
      </c>
      <c r="O56" s="16">
        <f t="shared" si="7"/>
        <v>1462.31</v>
      </c>
      <c r="P56" s="17" t="str">
        <f t="shared" si="8"/>
        <v>2025_5</v>
      </c>
      <c r="Q56" s="17" t="str">
        <f t="shared" si="9"/>
        <v>VIP</v>
      </c>
    </row>
    <row r="57" ht="15.75" customHeight="1">
      <c r="A57" s="9">
        <v>45787.0</v>
      </c>
      <c r="B57" s="10">
        <v>6399.0</v>
      </c>
      <c r="C57" s="11" t="s">
        <v>108</v>
      </c>
      <c r="D57" s="11" t="s">
        <v>31</v>
      </c>
      <c r="E57" s="11" t="s">
        <v>28</v>
      </c>
      <c r="F57" s="11" t="s">
        <v>29</v>
      </c>
      <c r="G57" s="12">
        <v>6.0</v>
      </c>
      <c r="H57" s="13">
        <v>523.59</v>
      </c>
      <c r="I57" s="14">
        <f t="shared" si="1"/>
        <v>3141.54</v>
      </c>
      <c r="J57" s="15">
        <f t="shared" si="2"/>
        <v>2025</v>
      </c>
      <c r="K57" s="15">
        <f t="shared" si="3"/>
        <v>5</v>
      </c>
      <c r="L57" s="15">
        <f t="shared" si="4"/>
        <v>10</v>
      </c>
      <c r="M57" s="15">
        <f t="shared" si="5"/>
        <v>7</v>
      </c>
      <c r="N57" s="16">
        <f t="shared" si="6"/>
        <v>1256.616</v>
      </c>
      <c r="O57" s="16">
        <f t="shared" si="7"/>
        <v>314.154</v>
      </c>
      <c r="P57" s="17" t="str">
        <f t="shared" si="8"/>
        <v>2025_5</v>
      </c>
      <c r="Q57" s="17" t="str">
        <f t="shared" si="9"/>
        <v>Não VIP</v>
      </c>
    </row>
    <row r="58" ht="15.75" customHeight="1">
      <c r="A58" s="9">
        <v>45818.0</v>
      </c>
      <c r="B58" s="10">
        <v>9812.0</v>
      </c>
      <c r="C58" s="11" t="s">
        <v>109</v>
      </c>
      <c r="D58" s="11" t="s">
        <v>22</v>
      </c>
      <c r="E58" s="11" t="s">
        <v>23</v>
      </c>
      <c r="F58" s="11" t="s">
        <v>24</v>
      </c>
      <c r="G58" s="12">
        <v>9.0</v>
      </c>
      <c r="H58" s="13">
        <v>934.59</v>
      </c>
      <c r="I58" s="14">
        <f t="shared" si="1"/>
        <v>8411.31</v>
      </c>
      <c r="J58" s="15">
        <f t="shared" si="2"/>
        <v>2025</v>
      </c>
      <c r="K58" s="15">
        <f t="shared" si="3"/>
        <v>6</v>
      </c>
      <c r="L58" s="15">
        <f t="shared" si="4"/>
        <v>10</v>
      </c>
      <c r="M58" s="15">
        <f t="shared" si="5"/>
        <v>3</v>
      </c>
      <c r="N58" s="16">
        <f t="shared" si="6"/>
        <v>3364.524</v>
      </c>
      <c r="O58" s="16">
        <f t="shared" si="7"/>
        <v>841.131</v>
      </c>
      <c r="P58" s="17" t="str">
        <f t="shared" si="8"/>
        <v>2025_6</v>
      </c>
      <c r="Q58" s="17" t="str">
        <f t="shared" si="9"/>
        <v>Não VIP</v>
      </c>
    </row>
    <row r="59" ht="15.75" customHeight="1">
      <c r="A59" s="9">
        <v>45818.0</v>
      </c>
      <c r="B59" s="10">
        <v>4273.0</v>
      </c>
      <c r="C59" s="11" t="s">
        <v>110</v>
      </c>
      <c r="D59" s="11" t="s">
        <v>43</v>
      </c>
      <c r="E59" s="11" t="s">
        <v>19</v>
      </c>
      <c r="F59" s="11" t="s">
        <v>58</v>
      </c>
      <c r="G59" s="12">
        <v>10.0</v>
      </c>
      <c r="H59" s="13">
        <v>746.31</v>
      </c>
      <c r="I59" s="14">
        <f t="shared" si="1"/>
        <v>7463.1</v>
      </c>
      <c r="J59" s="15">
        <f t="shared" si="2"/>
        <v>2025</v>
      </c>
      <c r="K59" s="15">
        <f t="shared" si="3"/>
        <v>6</v>
      </c>
      <c r="L59" s="15">
        <f t="shared" si="4"/>
        <v>10</v>
      </c>
      <c r="M59" s="15">
        <f t="shared" si="5"/>
        <v>3</v>
      </c>
      <c r="N59" s="16">
        <f t="shared" si="6"/>
        <v>2985.24</v>
      </c>
      <c r="O59" s="16">
        <f t="shared" si="7"/>
        <v>746.31</v>
      </c>
      <c r="P59" s="17" t="str">
        <f t="shared" si="8"/>
        <v>2025_6</v>
      </c>
      <c r="Q59" s="17" t="str">
        <f t="shared" si="9"/>
        <v>Não VIP</v>
      </c>
    </row>
    <row r="60" ht="15.75" customHeight="1">
      <c r="A60" s="9">
        <v>45668.0</v>
      </c>
      <c r="B60" s="10">
        <v>9652.0</v>
      </c>
      <c r="C60" s="11" t="s">
        <v>111</v>
      </c>
      <c r="D60" s="11" t="s">
        <v>22</v>
      </c>
      <c r="E60" s="11" t="s">
        <v>32</v>
      </c>
      <c r="F60" s="11" t="s">
        <v>56</v>
      </c>
      <c r="G60" s="12">
        <v>1.0</v>
      </c>
      <c r="H60" s="13">
        <v>1754.65</v>
      </c>
      <c r="I60" s="14">
        <f t="shared" si="1"/>
        <v>1754.65</v>
      </c>
      <c r="J60" s="15">
        <f t="shared" si="2"/>
        <v>2025</v>
      </c>
      <c r="K60" s="15">
        <f t="shared" si="3"/>
        <v>1</v>
      </c>
      <c r="L60" s="15">
        <f t="shared" si="4"/>
        <v>11</v>
      </c>
      <c r="M60" s="15">
        <f t="shared" si="5"/>
        <v>7</v>
      </c>
      <c r="N60" s="16">
        <f t="shared" si="6"/>
        <v>701.86</v>
      </c>
      <c r="O60" s="16">
        <f t="shared" si="7"/>
        <v>175.465</v>
      </c>
      <c r="P60" s="17" t="str">
        <f t="shared" si="8"/>
        <v>2025_1</v>
      </c>
      <c r="Q60" s="17" t="str">
        <f t="shared" si="9"/>
        <v>Não VIP</v>
      </c>
    </row>
    <row r="61" ht="15.75" customHeight="1">
      <c r="A61" s="9">
        <v>45758.0</v>
      </c>
      <c r="B61" s="10">
        <v>1070.0</v>
      </c>
      <c r="C61" s="11" t="s">
        <v>112</v>
      </c>
      <c r="D61" s="11" t="s">
        <v>65</v>
      </c>
      <c r="E61" s="11" t="s">
        <v>38</v>
      </c>
      <c r="F61" s="11" t="s">
        <v>60</v>
      </c>
      <c r="G61" s="12">
        <v>7.0</v>
      </c>
      <c r="H61" s="13">
        <v>2220.94</v>
      </c>
      <c r="I61" s="14">
        <f t="shared" si="1"/>
        <v>15546.58</v>
      </c>
      <c r="J61" s="15">
        <f t="shared" si="2"/>
        <v>2025</v>
      </c>
      <c r="K61" s="15">
        <f t="shared" si="3"/>
        <v>4</v>
      </c>
      <c r="L61" s="15">
        <f t="shared" si="4"/>
        <v>11</v>
      </c>
      <c r="M61" s="15">
        <f t="shared" si="5"/>
        <v>6</v>
      </c>
      <c r="N61" s="16">
        <f t="shared" si="6"/>
        <v>6218.632</v>
      </c>
      <c r="O61" s="16">
        <f t="shared" si="7"/>
        <v>1554.658</v>
      </c>
      <c r="P61" s="17" t="str">
        <f t="shared" si="8"/>
        <v>2025_4</v>
      </c>
      <c r="Q61" s="17" t="str">
        <f t="shared" si="9"/>
        <v>VIP</v>
      </c>
    </row>
    <row r="62" ht="15.75" customHeight="1">
      <c r="A62" s="9">
        <v>45788.0</v>
      </c>
      <c r="B62" s="10">
        <v>3170.0</v>
      </c>
      <c r="C62" s="11" t="s">
        <v>113</v>
      </c>
      <c r="D62" s="11" t="s">
        <v>43</v>
      </c>
      <c r="E62" s="11" t="s">
        <v>28</v>
      </c>
      <c r="F62" s="11" t="s">
        <v>29</v>
      </c>
      <c r="G62" s="12">
        <v>9.0</v>
      </c>
      <c r="H62" s="13">
        <v>1610.73</v>
      </c>
      <c r="I62" s="14">
        <f t="shared" si="1"/>
        <v>14496.57</v>
      </c>
      <c r="J62" s="15">
        <f t="shared" si="2"/>
        <v>2025</v>
      </c>
      <c r="K62" s="15">
        <f t="shared" si="3"/>
        <v>5</v>
      </c>
      <c r="L62" s="15">
        <f t="shared" si="4"/>
        <v>11</v>
      </c>
      <c r="M62" s="15">
        <f t="shared" si="5"/>
        <v>1</v>
      </c>
      <c r="N62" s="16">
        <f t="shared" si="6"/>
        <v>5798.628</v>
      </c>
      <c r="O62" s="16">
        <f t="shared" si="7"/>
        <v>1449.657</v>
      </c>
      <c r="P62" s="17" t="str">
        <f t="shared" si="8"/>
        <v>2025_5</v>
      </c>
      <c r="Q62" s="17" t="str">
        <f t="shared" si="9"/>
        <v>VIP</v>
      </c>
    </row>
    <row r="63" ht="15.75" customHeight="1">
      <c r="A63" s="9">
        <v>45669.0</v>
      </c>
      <c r="B63" s="10">
        <v>4728.0</v>
      </c>
      <c r="C63" s="11" t="s">
        <v>114</v>
      </c>
      <c r="D63" s="11" t="s">
        <v>22</v>
      </c>
      <c r="E63" s="11" t="s">
        <v>23</v>
      </c>
      <c r="F63" s="11" t="s">
        <v>35</v>
      </c>
      <c r="G63" s="12">
        <v>5.0</v>
      </c>
      <c r="H63" s="13">
        <v>1835.12</v>
      </c>
      <c r="I63" s="14">
        <f t="shared" si="1"/>
        <v>9175.6</v>
      </c>
      <c r="J63" s="15">
        <f t="shared" si="2"/>
        <v>2025</v>
      </c>
      <c r="K63" s="15">
        <f t="shared" si="3"/>
        <v>1</v>
      </c>
      <c r="L63" s="15">
        <f t="shared" si="4"/>
        <v>12</v>
      </c>
      <c r="M63" s="15">
        <f t="shared" si="5"/>
        <v>1</v>
      </c>
      <c r="N63" s="16">
        <f t="shared" si="6"/>
        <v>3670.24</v>
      </c>
      <c r="O63" s="16">
        <f t="shared" si="7"/>
        <v>917.56</v>
      </c>
      <c r="P63" s="17" t="str">
        <f t="shared" si="8"/>
        <v>2025_1</v>
      </c>
      <c r="Q63" s="17" t="str">
        <f t="shared" si="9"/>
        <v>Não VIP</v>
      </c>
    </row>
    <row r="64" ht="15.75" customHeight="1">
      <c r="A64" s="9">
        <v>45669.0</v>
      </c>
      <c r="B64" s="10">
        <v>9550.0</v>
      </c>
      <c r="C64" s="11" t="s">
        <v>115</v>
      </c>
      <c r="D64" s="11" t="s">
        <v>31</v>
      </c>
      <c r="E64" s="11" t="s">
        <v>28</v>
      </c>
      <c r="F64" s="11" t="s">
        <v>76</v>
      </c>
      <c r="G64" s="12">
        <v>4.0</v>
      </c>
      <c r="H64" s="13">
        <v>1520.8</v>
      </c>
      <c r="I64" s="14">
        <f t="shared" si="1"/>
        <v>6083.2</v>
      </c>
      <c r="J64" s="15">
        <f t="shared" si="2"/>
        <v>2025</v>
      </c>
      <c r="K64" s="15">
        <f t="shared" si="3"/>
        <v>1</v>
      </c>
      <c r="L64" s="15">
        <f t="shared" si="4"/>
        <v>12</v>
      </c>
      <c r="M64" s="15">
        <f t="shared" si="5"/>
        <v>1</v>
      </c>
      <c r="N64" s="16">
        <f t="shared" si="6"/>
        <v>2433.28</v>
      </c>
      <c r="O64" s="16">
        <f t="shared" si="7"/>
        <v>608.32</v>
      </c>
      <c r="P64" s="17" t="str">
        <f t="shared" si="8"/>
        <v>2025_1</v>
      </c>
      <c r="Q64" s="17" t="str">
        <f t="shared" si="9"/>
        <v>Não VIP</v>
      </c>
    </row>
    <row r="65" ht="15.75" customHeight="1">
      <c r="A65" s="9">
        <v>45700.0</v>
      </c>
      <c r="B65" s="10">
        <v>4047.0</v>
      </c>
      <c r="C65" s="11" t="s">
        <v>116</v>
      </c>
      <c r="D65" s="11" t="s">
        <v>22</v>
      </c>
      <c r="E65" s="11" t="s">
        <v>19</v>
      </c>
      <c r="F65" s="11" t="s">
        <v>58</v>
      </c>
      <c r="G65" s="12">
        <v>8.0</v>
      </c>
      <c r="H65" s="13">
        <v>1250.26</v>
      </c>
      <c r="I65" s="14">
        <f t="shared" si="1"/>
        <v>10002.08</v>
      </c>
      <c r="J65" s="15">
        <f t="shared" si="2"/>
        <v>2025</v>
      </c>
      <c r="K65" s="15">
        <f t="shared" si="3"/>
        <v>2</v>
      </c>
      <c r="L65" s="15">
        <f t="shared" si="4"/>
        <v>12</v>
      </c>
      <c r="M65" s="15">
        <f t="shared" si="5"/>
        <v>4</v>
      </c>
      <c r="N65" s="16">
        <f t="shared" si="6"/>
        <v>4000.832</v>
      </c>
      <c r="O65" s="16">
        <f t="shared" si="7"/>
        <v>1000.208</v>
      </c>
      <c r="P65" s="17" t="str">
        <f t="shared" si="8"/>
        <v>2025_2</v>
      </c>
      <c r="Q65" s="17" t="str">
        <f t="shared" si="9"/>
        <v>VIP</v>
      </c>
    </row>
    <row r="66" ht="15.75" customHeight="1">
      <c r="A66" s="9">
        <v>45700.0</v>
      </c>
      <c r="B66" s="10">
        <v>9128.0</v>
      </c>
      <c r="C66" s="11" t="s">
        <v>117</v>
      </c>
      <c r="D66" s="11" t="s">
        <v>65</v>
      </c>
      <c r="E66" s="11" t="s">
        <v>32</v>
      </c>
      <c r="F66" s="11" t="s">
        <v>78</v>
      </c>
      <c r="G66" s="12">
        <v>6.0</v>
      </c>
      <c r="H66" s="13">
        <v>892.65</v>
      </c>
      <c r="I66" s="14">
        <f t="shared" si="1"/>
        <v>5355.9</v>
      </c>
      <c r="J66" s="15">
        <f t="shared" si="2"/>
        <v>2025</v>
      </c>
      <c r="K66" s="15">
        <f t="shared" si="3"/>
        <v>2</v>
      </c>
      <c r="L66" s="15">
        <f t="shared" si="4"/>
        <v>12</v>
      </c>
      <c r="M66" s="15">
        <f t="shared" si="5"/>
        <v>4</v>
      </c>
      <c r="N66" s="16">
        <f t="shared" si="6"/>
        <v>2142.36</v>
      </c>
      <c r="O66" s="16">
        <f t="shared" si="7"/>
        <v>535.59</v>
      </c>
      <c r="P66" s="17" t="str">
        <f t="shared" si="8"/>
        <v>2025_2</v>
      </c>
      <c r="Q66" s="17" t="str">
        <f t="shared" si="9"/>
        <v>Não VIP</v>
      </c>
    </row>
    <row r="67" ht="15.75" customHeight="1">
      <c r="A67" s="9">
        <v>45728.0</v>
      </c>
      <c r="B67" s="10">
        <v>4011.0</v>
      </c>
      <c r="C67" s="11" t="s">
        <v>118</v>
      </c>
      <c r="D67" s="11" t="s">
        <v>65</v>
      </c>
      <c r="E67" s="11" t="s">
        <v>19</v>
      </c>
      <c r="F67" s="11" t="s">
        <v>46</v>
      </c>
      <c r="G67" s="12">
        <v>2.0</v>
      </c>
      <c r="H67" s="13">
        <v>801.95</v>
      </c>
      <c r="I67" s="14">
        <f t="shared" si="1"/>
        <v>1603.9</v>
      </c>
      <c r="J67" s="15">
        <f t="shared" si="2"/>
        <v>2025</v>
      </c>
      <c r="K67" s="15">
        <f t="shared" si="3"/>
        <v>3</v>
      </c>
      <c r="L67" s="15">
        <f t="shared" si="4"/>
        <v>12</v>
      </c>
      <c r="M67" s="15">
        <f t="shared" si="5"/>
        <v>4</v>
      </c>
      <c r="N67" s="16">
        <f t="shared" si="6"/>
        <v>641.56</v>
      </c>
      <c r="O67" s="16">
        <f t="shared" si="7"/>
        <v>160.39</v>
      </c>
      <c r="P67" s="17" t="str">
        <f t="shared" si="8"/>
        <v>2025_3</v>
      </c>
      <c r="Q67" s="17" t="str">
        <f t="shared" si="9"/>
        <v>Não VIP</v>
      </c>
    </row>
    <row r="68" ht="15.75" customHeight="1">
      <c r="A68" s="9">
        <v>45759.0</v>
      </c>
      <c r="B68" s="10">
        <v>4562.0</v>
      </c>
      <c r="C68" s="11" t="s">
        <v>119</v>
      </c>
      <c r="D68" s="11" t="s">
        <v>65</v>
      </c>
      <c r="E68" s="11" t="s">
        <v>19</v>
      </c>
      <c r="F68" s="11" t="s">
        <v>41</v>
      </c>
      <c r="G68" s="12">
        <v>10.0</v>
      </c>
      <c r="H68" s="13">
        <v>2094.24</v>
      </c>
      <c r="I68" s="14">
        <f t="shared" si="1"/>
        <v>20942.4</v>
      </c>
      <c r="J68" s="15">
        <f t="shared" si="2"/>
        <v>2025</v>
      </c>
      <c r="K68" s="15">
        <f t="shared" si="3"/>
        <v>4</v>
      </c>
      <c r="L68" s="15">
        <f t="shared" si="4"/>
        <v>12</v>
      </c>
      <c r="M68" s="15">
        <f t="shared" si="5"/>
        <v>7</v>
      </c>
      <c r="N68" s="16">
        <f t="shared" si="6"/>
        <v>8376.96</v>
      </c>
      <c r="O68" s="16">
        <f t="shared" si="7"/>
        <v>2094.24</v>
      </c>
      <c r="P68" s="17" t="str">
        <f t="shared" si="8"/>
        <v>2025_4</v>
      </c>
      <c r="Q68" s="17" t="str">
        <f t="shared" si="9"/>
        <v>VIP</v>
      </c>
    </row>
    <row r="69" ht="15.75" customHeight="1">
      <c r="A69" s="9">
        <v>45759.0</v>
      </c>
      <c r="B69" s="10">
        <v>9365.0</v>
      </c>
      <c r="C69" s="11" t="s">
        <v>120</v>
      </c>
      <c r="D69" s="11" t="s">
        <v>22</v>
      </c>
      <c r="E69" s="11" t="s">
        <v>32</v>
      </c>
      <c r="F69" s="11" t="s">
        <v>85</v>
      </c>
      <c r="G69" s="12">
        <v>8.0</v>
      </c>
      <c r="H69" s="13">
        <v>976.21</v>
      </c>
      <c r="I69" s="14">
        <f t="shared" si="1"/>
        <v>7809.68</v>
      </c>
      <c r="J69" s="15">
        <f t="shared" si="2"/>
        <v>2025</v>
      </c>
      <c r="K69" s="15">
        <f t="shared" si="3"/>
        <v>4</v>
      </c>
      <c r="L69" s="15">
        <f t="shared" si="4"/>
        <v>12</v>
      </c>
      <c r="M69" s="15">
        <f t="shared" si="5"/>
        <v>7</v>
      </c>
      <c r="N69" s="16">
        <f t="shared" si="6"/>
        <v>3123.872</v>
      </c>
      <c r="O69" s="16">
        <f t="shared" si="7"/>
        <v>780.968</v>
      </c>
      <c r="P69" s="17" t="str">
        <f t="shared" si="8"/>
        <v>2025_4</v>
      </c>
      <c r="Q69" s="17" t="str">
        <f t="shared" si="9"/>
        <v>Não VIP</v>
      </c>
    </row>
    <row r="70" ht="15.75" customHeight="1">
      <c r="A70" s="9">
        <v>45759.0</v>
      </c>
      <c r="B70" s="10">
        <v>8251.0</v>
      </c>
      <c r="C70" s="11" t="s">
        <v>121</v>
      </c>
      <c r="D70" s="11" t="s">
        <v>37</v>
      </c>
      <c r="E70" s="11" t="s">
        <v>19</v>
      </c>
      <c r="F70" s="11" t="s">
        <v>44</v>
      </c>
      <c r="G70" s="12">
        <v>8.0</v>
      </c>
      <c r="H70" s="13">
        <v>1574.21</v>
      </c>
      <c r="I70" s="14">
        <f t="shared" si="1"/>
        <v>12593.68</v>
      </c>
      <c r="J70" s="15">
        <f t="shared" si="2"/>
        <v>2025</v>
      </c>
      <c r="K70" s="15">
        <f t="shared" si="3"/>
        <v>4</v>
      </c>
      <c r="L70" s="15">
        <f t="shared" si="4"/>
        <v>12</v>
      </c>
      <c r="M70" s="15">
        <f t="shared" si="5"/>
        <v>7</v>
      </c>
      <c r="N70" s="16">
        <f t="shared" si="6"/>
        <v>5037.472</v>
      </c>
      <c r="O70" s="16">
        <f t="shared" si="7"/>
        <v>1259.368</v>
      </c>
      <c r="P70" s="17" t="str">
        <f t="shared" si="8"/>
        <v>2025_4</v>
      </c>
      <c r="Q70" s="17" t="str">
        <f t="shared" si="9"/>
        <v>VIP</v>
      </c>
    </row>
    <row r="71" ht="15.75" customHeight="1">
      <c r="A71" s="9">
        <v>45638.0</v>
      </c>
      <c r="B71" s="10">
        <v>3485.0</v>
      </c>
      <c r="C71" s="11" t="s">
        <v>122</v>
      </c>
      <c r="D71" s="11" t="s">
        <v>37</v>
      </c>
      <c r="E71" s="11" t="s">
        <v>38</v>
      </c>
      <c r="F71" s="11" t="s">
        <v>39</v>
      </c>
      <c r="G71" s="12">
        <v>2.0</v>
      </c>
      <c r="H71" s="13">
        <v>294.04</v>
      </c>
      <c r="I71" s="14">
        <f t="shared" si="1"/>
        <v>588.08</v>
      </c>
      <c r="J71" s="15">
        <f t="shared" si="2"/>
        <v>2024</v>
      </c>
      <c r="K71" s="15">
        <f t="shared" si="3"/>
        <v>12</v>
      </c>
      <c r="L71" s="15">
        <f t="shared" si="4"/>
        <v>12</v>
      </c>
      <c r="M71" s="15">
        <f t="shared" si="5"/>
        <v>5</v>
      </c>
      <c r="N71" s="16">
        <f t="shared" si="6"/>
        <v>235.232</v>
      </c>
      <c r="O71" s="16">
        <f t="shared" si="7"/>
        <v>58.808</v>
      </c>
      <c r="P71" s="17" t="str">
        <f t="shared" si="8"/>
        <v>2024_12</v>
      </c>
      <c r="Q71" s="17" t="str">
        <f t="shared" si="9"/>
        <v>Não VIP</v>
      </c>
    </row>
    <row r="72" ht="15.75" customHeight="1">
      <c r="A72" s="9">
        <v>45670.0</v>
      </c>
      <c r="B72" s="10">
        <v>7689.0</v>
      </c>
      <c r="C72" s="11" t="s">
        <v>123</v>
      </c>
      <c r="D72" s="11" t="s">
        <v>65</v>
      </c>
      <c r="E72" s="11" t="s">
        <v>19</v>
      </c>
      <c r="F72" s="11" t="s">
        <v>58</v>
      </c>
      <c r="G72" s="12">
        <v>8.0</v>
      </c>
      <c r="H72" s="13">
        <v>2391.07</v>
      </c>
      <c r="I72" s="14">
        <f t="shared" si="1"/>
        <v>19128.56</v>
      </c>
      <c r="J72" s="15">
        <f t="shared" si="2"/>
        <v>2025</v>
      </c>
      <c r="K72" s="15">
        <f t="shared" si="3"/>
        <v>1</v>
      </c>
      <c r="L72" s="15">
        <f t="shared" si="4"/>
        <v>13</v>
      </c>
      <c r="M72" s="15">
        <f t="shared" si="5"/>
        <v>2</v>
      </c>
      <c r="N72" s="16">
        <f t="shared" si="6"/>
        <v>7651.424</v>
      </c>
      <c r="O72" s="16">
        <f t="shared" si="7"/>
        <v>1912.856</v>
      </c>
      <c r="P72" s="17" t="str">
        <f t="shared" si="8"/>
        <v>2025_1</v>
      </c>
      <c r="Q72" s="17" t="str">
        <f t="shared" si="9"/>
        <v>VIP</v>
      </c>
    </row>
    <row r="73" ht="15.75" customHeight="1">
      <c r="A73" s="9">
        <v>45670.0</v>
      </c>
      <c r="B73" s="10">
        <v>6946.0</v>
      </c>
      <c r="C73" s="11" t="s">
        <v>124</v>
      </c>
      <c r="D73" s="11" t="s">
        <v>31</v>
      </c>
      <c r="E73" s="11" t="s">
        <v>23</v>
      </c>
      <c r="F73" s="11" t="s">
        <v>125</v>
      </c>
      <c r="G73" s="12">
        <v>7.0</v>
      </c>
      <c r="H73" s="13">
        <v>197.93</v>
      </c>
      <c r="I73" s="14">
        <f t="shared" si="1"/>
        <v>1385.51</v>
      </c>
      <c r="J73" s="15">
        <f t="shared" si="2"/>
        <v>2025</v>
      </c>
      <c r="K73" s="15">
        <f t="shared" si="3"/>
        <v>1</v>
      </c>
      <c r="L73" s="15">
        <f t="shared" si="4"/>
        <v>13</v>
      </c>
      <c r="M73" s="15">
        <f t="shared" si="5"/>
        <v>2</v>
      </c>
      <c r="N73" s="16">
        <f t="shared" si="6"/>
        <v>554.204</v>
      </c>
      <c r="O73" s="16">
        <f t="shared" si="7"/>
        <v>138.551</v>
      </c>
      <c r="P73" s="17" t="str">
        <f t="shared" si="8"/>
        <v>2025_1</v>
      </c>
      <c r="Q73" s="17" t="str">
        <f t="shared" si="9"/>
        <v>Não VIP</v>
      </c>
    </row>
    <row r="74" ht="15.75" customHeight="1">
      <c r="A74" s="9">
        <v>45670.0</v>
      </c>
      <c r="B74" s="10">
        <v>2482.0</v>
      </c>
      <c r="C74" s="11" t="s">
        <v>126</v>
      </c>
      <c r="D74" s="11" t="s">
        <v>27</v>
      </c>
      <c r="E74" s="11" t="s">
        <v>23</v>
      </c>
      <c r="F74" s="11" t="s">
        <v>35</v>
      </c>
      <c r="G74" s="12">
        <v>2.0</v>
      </c>
      <c r="H74" s="13">
        <v>999.76</v>
      </c>
      <c r="I74" s="14">
        <f t="shared" si="1"/>
        <v>1999.52</v>
      </c>
      <c r="J74" s="15">
        <f t="shared" si="2"/>
        <v>2025</v>
      </c>
      <c r="K74" s="15">
        <f t="shared" si="3"/>
        <v>1</v>
      </c>
      <c r="L74" s="15">
        <f t="shared" si="4"/>
        <v>13</v>
      </c>
      <c r="M74" s="15">
        <f t="shared" si="5"/>
        <v>2</v>
      </c>
      <c r="N74" s="16">
        <f t="shared" si="6"/>
        <v>799.808</v>
      </c>
      <c r="O74" s="16">
        <f t="shared" si="7"/>
        <v>199.952</v>
      </c>
      <c r="P74" s="17" t="str">
        <f t="shared" si="8"/>
        <v>2025_1</v>
      </c>
      <c r="Q74" s="17" t="str">
        <f t="shared" si="9"/>
        <v>Não VIP</v>
      </c>
    </row>
    <row r="75" ht="15.75" customHeight="1">
      <c r="A75" s="9">
        <v>45670.0</v>
      </c>
      <c r="B75" s="10">
        <v>7530.0</v>
      </c>
      <c r="C75" s="11" t="s">
        <v>127</v>
      </c>
      <c r="D75" s="11" t="s">
        <v>43</v>
      </c>
      <c r="E75" s="11" t="s">
        <v>38</v>
      </c>
      <c r="F75" s="11" t="s">
        <v>60</v>
      </c>
      <c r="G75" s="12">
        <v>2.0</v>
      </c>
      <c r="H75" s="13">
        <v>2691.05</v>
      </c>
      <c r="I75" s="14">
        <f t="shared" si="1"/>
        <v>5382.1</v>
      </c>
      <c r="J75" s="15">
        <f t="shared" si="2"/>
        <v>2025</v>
      </c>
      <c r="K75" s="15">
        <f t="shared" si="3"/>
        <v>1</v>
      </c>
      <c r="L75" s="15">
        <f t="shared" si="4"/>
        <v>13</v>
      </c>
      <c r="M75" s="15">
        <f t="shared" si="5"/>
        <v>2</v>
      </c>
      <c r="N75" s="16">
        <f t="shared" si="6"/>
        <v>2152.84</v>
      </c>
      <c r="O75" s="16">
        <f t="shared" si="7"/>
        <v>538.21</v>
      </c>
      <c r="P75" s="17" t="str">
        <f t="shared" si="8"/>
        <v>2025_1</v>
      </c>
      <c r="Q75" s="17" t="str">
        <f t="shared" si="9"/>
        <v>Não VIP</v>
      </c>
    </row>
    <row r="76" ht="15.75" customHeight="1">
      <c r="A76" s="9">
        <v>45729.0</v>
      </c>
      <c r="B76" s="10">
        <v>6638.0</v>
      </c>
      <c r="C76" s="11" t="s">
        <v>128</v>
      </c>
      <c r="D76" s="11" t="s">
        <v>65</v>
      </c>
      <c r="E76" s="11" t="s">
        <v>28</v>
      </c>
      <c r="F76" s="11" t="s">
        <v>98</v>
      </c>
      <c r="G76" s="12">
        <v>8.0</v>
      </c>
      <c r="H76" s="13">
        <v>2277.06</v>
      </c>
      <c r="I76" s="14">
        <f t="shared" si="1"/>
        <v>18216.48</v>
      </c>
      <c r="J76" s="15">
        <f t="shared" si="2"/>
        <v>2025</v>
      </c>
      <c r="K76" s="15">
        <f t="shared" si="3"/>
        <v>3</v>
      </c>
      <c r="L76" s="15">
        <f t="shared" si="4"/>
        <v>13</v>
      </c>
      <c r="M76" s="15">
        <f t="shared" si="5"/>
        <v>5</v>
      </c>
      <c r="N76" s="16">
        <f t="shared" si="6"/>
        <v>7286.592</v>
      </c>
      <c r="O76" s="16">
        <f t="shared" si="7"/>
        <v>1821.648</v>
      </c>
      <c r="P76" s="17" t="str">
        <f t="shared" si="8"/>
        <v>2025_3</v>
      </c>
      <c r="Q76" s="17" t="str">
        <f t="shared" si="9"/>
        <v>VIP</v>
      </c>
    </row>
    <row r="77" ht="15.75" customHeight="1">
      <c r="A77" s="9">
        <v>45760.0</v>
      </c>
      <c r="B77" s="10">
        <v>6357.0</v>
      </c>
      <c r="C77" s="11" t="s">
        <v>129</v>
      </c>
      <c r="D77" s="11" t="s">
        <v>18</v>
      </c>
      <c r="E77" s="11" t="s">
        <v>19</v>
      </c>
      <c r="F77" s="11" t="s">
        <v>44</v>
      </c>
      <c r="G77" s="12">
        <v>7.0</v>
      </c>
      <c r="H77" s="13">
        <v>1150.43</v>
      </c>
      <c r="I77" s="14">
        <f t="shared" si="1"/>
        <v>8053.01</v>
      </c>
      <c r="J77" s="15">
        <f t="shared" si="2"/>
        <v>2025</v>
      </c>
      <c r="K77" s="15">
        <f t="shared" si="3"/>
        <v>4</v>
      </c>
      <c r="L77" s="15">
        <f t="shared" si="4"/>
        <v>13</v>
      </c>
      <c r="M77" s="15">
        <f t="shared" si="5"/>
        <v>1</v>
      </c>
      <c r="N77" s="16">
        <f t="shared" si="6"/>
        <v>3221.204</v>
      </c>
      <c r="O77" s="16">
        <f t="shared" si="7"/>
        <v>805.301</v>
      </c>
      <c r="P77" s="17" t="str">
        <f t="shared" si="8"/>
        <v>2025_4</v>
      </c>
      <c r="Q77" s="17" t="str">
        <f t="shared" si="9"/>
        <v>Não VIP</v>
      </c>
    </row>
    <row r="78" ht="15.75" customHeight="1">
      <c r="A78" s="9">
        <v>45760.0</v>
      </c>
      <c r="B78" s="10">
        <v>7029.0</v>
      </c>
      <c r="C78" s="11" t="s">
        <v>130</v>
      </c>
      <c r="D78" s="11" t="s">
        <v>22</v>
      </c>
      <c r="E78" s="11" t="s">
        <v>19</v>
      </c>
      <c r="F78" s="11" t="s">
        <v>20</v>
      </c>
      <c r="G78" s="12">
        <v>9.0</v>
      </c>
      <c r="H78" s="13">
        <v>491.42</v>
      </c>
      <c r="I78" s="14">
        <f t="shared" si="1"/>
        <v>4422.78</v>
      </c>
      <c r="J78" s="15">
        <f t="shared" si="2"/>
        <v>2025</v>
      </c>
      <c r="K78" s="15">
        <f t="shared" si="3"/>
        <v>4</v>
      </c>
      <c r="L78" s="15">
        <f t="shared" si="4"/>
        <v>13</v>
      </c>
      <c r="M78" s="15">
        <f t="shared" si="5"/>
        <v>1</v>
      </c>
      <c r="N78" s="16">
        <f t="shared" si="6"/>
        <v>1769.112</v>
      </c>
      <c r="O78" s="16">
        <f t="shared" si="7"/>
        <v>442.278</v>
      </c>
      <c r="P78" s="17" t="str">
        <f t="shared" si="8"/>
        <v>2025_4</v>
      </c>
      <c r="Q78" s="17" t="str">
        <f t="shared" si="9"/>
        <v>Não VIP</v>
      </c>
    </row>
    <row r="79" ht="15.75" customHeight="1">
      <c r="A79" s="9">
        <v>45760.0</v>
      </c>
      <c r="B79" s="10">
        <v>5554.0</v>
      </c>
      <c r="C79" s="11" t="s">
        <v>131</v>
      </c>
      <c r="D79" s="11" t="s">
        <v>65</v>
      </c>
      <c r="E79" s="11" t="s">
        <v>23</v>
      </c>
      <c r="F79" s="11" t="s">
        <v>52</v>
      </c>
      <c r="G79" s="12">
        <v>3.0</v>
      </c>
      <c r="H79" s="13">
        <v>2495.1</v>
      </c>
      <c r="I79" s="14">
        <f t="shared" si="1"/>
        <v>7485.3</v>
      </c>
      <c r="J79" s="15">
        <f t="shared" si="2"/>
        <v>2025</v>
      </c>
      <c r="K79" s="15">
        <f t="shared" si="3"/>
        <v>4</v>
      </c>
      <c r="L79" s="15">
        <f t="shared" si="4"/>
        <v>13</v>
      </c>
      <c r="M79" s="15">
        <f t="shared" si="5"/>
        <v>1</v>
      </c>
      <c r="N79" s="16">
        <f t="shared" si="6"/>
        <v>2994.12</v>
      </c>
      <c r="O79" s="16">
        <f t="shared" si="7"/>
        <v>748.53</v>
      </c>
      <c r="P79" s="17" t="str">
        <f t="shared" si="8"/>
        <v>2025_4</v>
      </c>
      <c r="Q79" s="17" t="str">
        <f t="shared" si="9"/>
        <v>Não VIP</v>
      </c>
    </row>
    <row r="80" ht="15.75" customHeight="1">
      <c r="A80" s="9">
        <v>45760.0</v>
      </c>
      <c r="B80" s="10">
        <v>1639.0</v>
      </c>
      <c r="C80" s="11" t="s">
        <v>132</v>
      </c>
      <c r="D80" s="11" t="s">
        <v>18</v>
      </c>
      <c r="E80" s="11" t="s">
        <v>19</v>
      </c>
      <c r="F80" s="11" t="s">
        <v>20</v>
      </c>
      <c r="G80" s="12">
        <v>3.0</v>
      </c>
      <c r="H80" s="13">
        <v>1042.55</v>
      </c>
      <c r="I80" s="14">
        <f t="shared" si="1"/>
        <v>3127.65</v>
      </c>
      <c r="J80" s="15">
        <f t="shared" si="2"/>
        <v>2025</v>
      </c>
      <c r="K80" s="15">
        <f t="shared" si="3"/>
        <v>4</v>
      </c>
      <c r="L80" s="15">
        <f t="shared" si="4"/>
        <v>13</v>
      </c>
      <c r="M80" s="15">
        <f t="shared" si="5"/>
        <v>1</v>
      </c>
      <c r="N80" s="16">
        <f t="shared" si="6"/>
        <v>1251.06</v>
      </c>
      <c r="O80" s="16">
        <f t="shared" si="7"/>
        <v>312.765</v>
      </c>
      <c r="P80" s="17" t="str">
        <f t="shared" si="8"/>
        <v>2025_4</v>
      </c>
      <c r="Q80" s="17" t="str">
        <f t="shared" si="9"/>
        <v>Não VIP</v>
      </c>
    </row>
    <row r="81" ht="15.75" customHeight="1">
      <c r="A81" s="9">
        <v>45639.0</v>
      </c>
      <c r="B81" s="10">
        <v>8413.0</v>
      </c>
      <c r="C81" s="11" t="s">
        <v>133</v>
      </c>
      <c r="D81" s="11" t="s">
        <v>37</v>
      </c>
      <c r="E81" s="11" t="s">
        <v>38</v>
      </c>
      <c r="F81" s="11" t="s">
        <v>68</v>
      </c>
      <c r="G81" s="12">
        <v>7.0</v>
      </c>
      <c r="H81" s="13">
        <v>215.83</v>
      </c>
      <c r="I81" s="14">
        <f t="shared" si="1"/>
        <v>1510.81</v>
      </c>
      <c r="J81" s="15">
        <f t="shared" si="2"/>
        <v>2024</v>
      </c>
      <c r="K81" s="15">
        <f t="shared" si="3"/>
        <v>12</v>
      </c>
      <c r="L81" s="15">
        <f t="shared" si="4"/>
        <v>13</v>
      </c>
      <c r="M81" s="15">
        <f t="shared" si="5"/>
        <v>6</v>
      </c>
      <c r="N81" s="16">
        <f t="shared" si="6"/>
        <v>604.324</v>
      </c>
      <c r="O81" s="16">
        <f t="shared" si="7"/>
        <v>151.081</v>
      </c>
      <c r="P81" s="17" t="str">
        <f t="shared" si="8"/>
        <v>2024_12</v>
      </c>
      <c r="Q81" s="17" t="str">
        <f t="shared" si="9"/>
        <v>Não VIP</v>
      </c>
    </row>
    <row r="82" ht="15.75" customHeight="1">
      <c r="A82" s="9">
        <v>45702.0</v>
      </c>
      <c r="B82" s="10">
        <v>5627.0</v>
      </c>
      <c r="C82" s="11" t="s">
        <v>134</v>
      </c>
      <c r="D82" s="11" t="s">
        <v>22</v>
      </c>
      <c r="E82" s="11" t="s">
        <v>38</v>
      </c>
      <c r="F82" s="11" t="s">
        <v>66</v>
      </c>
      <c r="G82" s="12">
        <v>3.0</v>
      </c>
      <c r="H82" s="13">
        <v>390.42</v>
      </c>
      <c r="I82" s="14">
        <f t="shared" si="1"/>
        <v>1171.26</v>
      </c>
      <c r="J82" s="15">
        <f t="shared" si="2"/>
        <v>2025</v>
      </c>
      <c r="K82" s="15">
        <f t="shared" si="3"/>
        <v>2</v>
      </c>
      <c r="L82" s="15">
        <f t="shared" si="4"/>
        <v>14</v>
      </c>
      <c r="M82" s="15">
        <f t="shared" si="5"/>
        <v>6</v>
      </c>
      <c r="N82" s="16">
        <f t="shared" si="6"/>
        <v>468.504</v>
      </c>
      <c r="O82" s="16">
        <f t="shared" si="7"/>
        <v>117.126</v>
      </c>
      <c r="P82" s="17" t="str">
        <f t="shared" si="8"/>
        <v>2025_2</v>
      </c>
      <c r="Q82" s="17" t="str">
        <f t="shared" si="9"/>
        <v>Não VIP</v>
      </c>
    </row>
    <row r="83" ht="15.75" customHeight="1">
      <c r="A83" s="9">
        <v>45730.0</v>
      </c>
      <c r="B83" s="10">
        <v>9320.0</v>
      </c>
      <c r="C83" s="11" t="s">
        <v>135</v>
      </c>
      <c r="D83" s="11" t="s">
        <v>43</v>
      </c>
      <c r="E83" s="11" t="s">
        <v>28</v>
      </c>
      <c r="F83" s="11" t="s">
        <v>76</v>
      </c>
      <c r="G83" s="12">
        <v>7.0</v>
      </c>
      <c r="H83" s="13">
        <v>2406.94</v>
      </c>
      <c r="I83" s="14">
        <f t="shared" si="1"/>
        <v>16848.58</v>
      </c>
      <c r="J83" s="15">
        <f t="shared" si="2"/>
        <v>2025</v>
      </c>
      <c r="K83" s="15">
        <f t="shared" si="3"/>
        <v>3</v>
      </c>
      <c r="L83" s="15">
        <f t="shared" si="4"/>
        <v>14</v>
      </c>
      <c r="M83" s="15">
        <f t="shared" si="5"/>
        <v>6</v>
      </c>
      <c r="N83" s="16">
        <f t="shared" si="6"/>
        <v>6739.432</v>
      </c>
      <c r="O83" s="16">
        <f t="shared" si="7"/>
        <v>1684.858</v>
      </c>
      <c r="P83" s="17" t="str">
        <f t="shared" si="8"/>
        <v>2025_3</v>
      </c>
      <c r="Q83" s="17" t="str">
        <f t="shared" si="9"/>
        <v>VIP</v>
      </c>
    </row>
    <row r="84" ht="15.75" customHeight="1">
      <c r="A84" s="9">
        <v>45730.0</v>
      </c>
      <c r="B84" s="10">
        <v>2976.0</v>
      </c>
      <c r="C84" s="11" t="s">
        <v>136</v>
      </c>
      <c r="D84" s="11" t="s">
        <v>65</v>
      </c>
      <c r="E84" s="11" t="s">
        <v>32</v>
      </c>
      <c r="F84" s="11" t="s">
        <v>78</v>
      </c>
      <c r="G84" s="12">
        <v>7.0</v>
      </c>
      <c r="H84" s="13">
        <v>558.37</v>
      </c>
      <c r="I84" s="14">
        <f t="shared" si="1"/>
        <v>3908.59</v>
      </c>
      <c r="J84" s="15">
        <f t="shared" si="2"/>
        <v>2025</v>
      </c>
      <c r="K84" s="15">
        <f t="shared" si="3"/>
        <v>3</v>
      </c>
      <c r="L84" s="15">
        <f t="shared" si="4"/>
        <v>14</v>
      </c>
      <c r="M84" s="15">
        <f t="shared" si="5"/>
        <v>6</v>
      </c>
      <c r="N84" s="16">
        <f t="shared" si="6"/>
        <v>1563.436</v>
      </c>
      <c r="O84" s="16">
        <f t="shared" si="7"/>
        <v>390.859</v>
      </c>
      <c r="P84" s="17" t="str">
        <f t="shared" si="8"/>
        <v>2025_3</v>
      </c>
      <c r="Q84" s="17" t="str">
        <f t="shared" si="9"/>
        <v>Não VIP</v>
      </c>
    </row>
    <row r="85" ht="15.75" customHeight="1">
      <c r="A85" s="9">
        <v>45640.0</v>
      </c>
      <c r="B85" s="10">
        <v>1162.0</v>
      </c>
      <c r="C85" s="11" t="s">
        <v>137</v>
      </c>
      <c r="D85" s="11" t="s">
        <v>27</v>
      </c>
      <c r="E85" s="11" t="s">
        <v>32</v>
      </c>
      <c r="F85" s="11" t="s">
        <v>85</v>
      </c>
      <c r="G85" s="12">
        <v>8.0</v>
      </c>
      <c r="H85" s="13">
        <v>1148.98</v>
      </c>
      <c r="I85" s="14">
        <f t="shared" si="1"/>
        <v>9191.84</v>
      </c>
      <c r="J85" s="15">
        <f t="shared" si="2"/>
        <v>2024</v>
      </c>
      <c r="K85" s="15">
        <f t="shared" si="3"/>
        <v>12</v>
      </c>
      <c r="L85" s="15">
        <f t="shared" si="4"/>
        <v>14</v>
      </c>
      <c r="M85" s="15">
        <f t="shared" si="5"/>
        <v>7</v>
      </c>
      <c r="N85" s="16">
        <f t="shared" si="6"/>
        <v>3676.736</v>
      </c>
      <c r="O85" s="16">
        <f t="shared" si="7"/>
        <v>919.184</v>
      </c>
      <c r="P85" s="17" t="str">
        <f t="shared" si="8"/>
        <v>2024_12</v>
      </c>
      <c r="Q85" s="17" t="str">
        <f t="shared" si="9"/>
        <v>Não VIP</v>
      </c>
    </row>
    <row r="86" ht="15.75" customHeight="1">
      <c r="A86" s="9">
        <v>45703.0</v>
      </c>
      <c r="B86" s="10">
        <v>9149.0</v>
      </c>
      <c r="C86" s="11" t="s">
        <v>138</v>
      </c>
      <c r="D86" s="11" t="s">
        <v>27</v>
      </c>
      <c r="E86" s="11" t="s">
        <v>32</v>
      </c>
      <c r="F86" s="11" t="s">
        <v>85</v>
      </c>
      <c r="G86" s="12">
        <v>7.0</v>
      </c>
      <c r="H86" s="13">
        <v>2458.52</v>
      </c>
      <c r="I86" s="14">
        <f t="shared" si="1"/>
        <v>17209.64</v>
      </c>
      <c r="J86" s="15">
        <f t="shared" si="2"/>
        <v>2025</v>
      </c>
      <c r="K86" s="15">
        <f t="shared" si="3"/>
        <v>2</v>
      </c>
      <c r="L86" s="15">
        <f t="shared" si="4"/>
        <v>15</v>
      </c>
      <c r="M86" s="15">
        <f t="shared" si="5"/>
        <v>7</v>
      </c>
      <c r="N86" s="16">
        <f t="shared" si="6"/>
        <v>6883.856</v>
      </c>
      <c r="O86" s="16">
        <f t="shared" si="7"/>
        <v>1720.964</v>
      </c>
      <c r="P86" s="17" t="str">
        <f t="shared" si="8"/>
        <v>2025_2</v>
      </c>
      <c r="Q86" s="17" t="str">
        <f t="shared" si="9"/>
        <v>VIP</v>
      </c>
    </row>
    <row r="87" ht="15.75" customHeight="1">
      <c r="A87" s="9">
        <v>45703.0</v>
      </c>
      <c r="B87" s="10">
        <v>9898.0</v>
      </c>
      <c r="C87" s="11" t="s">
        <v>139</v>
      </c>
      <c r="D87" s="11" t="s">
        <v>37</v>
      </c>
      <c r="E87" s="11" t="s">
        <v>28</v>
      </c>
      <c r="F87" s="11" t="s">
        <v>50</v>
      </c>
      <c r="G87" s="12">
        <v>9.0</v>
      </c>
      <c r="H87" s="13">
        <v>2905.37</v>
      </c>
      <c r="I87" s="14">
        <f t="shared" si="1"/>
        <v>26148.33</v>
      </c>
      <c r="J87" s="15">
        <f t="shared" si="2"/>
        <v>2025</v>
      </c>
      <c r="K87" s="15">
        <f t="shared" si="3"/>
        <v>2</v>
      </c>
      <c r="L87" s="15">
        <f t="shared" si="4"/>
        <v>15</v>
      </c>
      <c r="M87" s="15">
        <f t="shared" si="5"/>
        <v>7</v>
      </c>
      <c r="N87" s="16">
        <f t="shared" si="6"/>
        <v>10459.332</v>
      </c>
      <c r="O87" s="16">
        <f t="shared" si="7"/>
        <v>2614.833</v>
      </c>
      <c r="P87" s="17" t="str">
        <f t="shared" si="8"/>
        <v>2025_2</v>
      </c>
      <c r="Q87" s="17" t="str">
        <f t="shared" si="9"/>
        <v>VIP</v>
      </c>
    </row>
    <row r="88" ht="15.75" customHeight="1">
      <c r="A88" s="9">
        <v>45703.0</v>
      </c>
      <c r="B88" s="10">
        <v>3895.0</v>
      </c>
      <c r="C88" s="11" t="s">
        <v>140</v>
      </c>
      <c r="D88" s="11" t="s">
        <v>31</v>
      </c>
      <c r="E88" s="11" t="s">
        <v>32</v>
      </c>
      <c r="F88" s="11" t="s">
        <v>78</v>
      </c>
      <c r="G88" s="12">
        <v>7.0</v>
      </c>
      <c r="H88" s="13">
        <v>1733.91</v>
      </c>
      <c r="I88" s="14">
        <f t="shared" si="1"/>
        <v>12137.37</v>
      </c>
      <c r="J88" s="15">
        <f t="shared" si="2"/>
        <v>2025</v>
      </c>
      <c r="K88" s="15">
        <f t="shared" si="3"/>
        <v>2</v>
      </c>
      <c r="L88" s="15">
        <f t="shared" si="4"/>
        <v>15</v>
      </c>
      <c r="M88" s="15">
        <f t="shared" si="5"/>
        <v>7</v>
      </c>
      <c r="N88" s="16">
        <f t="shared" si="6"/>
        <v>4854.948</v>
      </c>
      <c r="O88" s="16">
        <f t="shared" si="7"/>
        <v>1213.737</v>
      </c>
      <c r="P88" s="17" t="str">
        <f t="shared" si="8"/>
        <v>2025_2</v>
      </c>
      <c r="Q88" s="17" t="str">
        <f t="shared" si="9"/>
        <v>VIP</v>
      </c>
    </row>
    <row r="89" ht="15.75" customHeight="1">
      <c r="A89" s="9">
        <v>45731.0</v>
      </c>
      <c r="B89" s="10">
        <v>4658.0</v>
      </c>
      <c r="C89" s="11" t="s">
        <v>141</v>
      </c>
      <c r="D89" s="11" t="s">
        <v>27</v>
      </c>
      <c r="E89" s="11" t="s">
        <v>23</v>
      </c>
      <c r="F89" s="11" t="s">
        <v>24</v>
      </c>
      <c r="G89" s="12">
        <v>7.0</v>
      </c>
      <c r="H89" s="13">
        <v>1692.65</v>
      </c>
      <c r="I89" s="14">
        <f t="shared" si="1"/>
        <v>11848.55</v>
      </c>
      <c r="J89" s="15">
        <f t="shared" si="2"/>
        <v>2025</v>
      </c>
      <c r="K89" s="15">
        <f t="shared" si="3"/>
        <v>3</v>
      </c>
      <c r="L89" s="15">
        <f t="shared" si="4"/>
        <v>15</v>
      </c>
      <c r="M89" s="15">
        <f t="shared" si="5"/>
        <v>7</v>
      </c>
      <c r="N89" s="16">
        <f t="shared" si="6"/>
        <v>4739.42</v>
      </c>
      <c r="O89" s="16">
        <f t="shared" si="7"/>
        <v>1184.855</v>
      </c>
      <c r="P89" s="17" t="str">
        <f t="shared" si="8"/>
        <v>2025_3</v>
      </c>
      <c r="Q89" s="17" t="str">
        <f t="shared" si="9"/>
        <v>VIP</v>
      </c>
    </row>
    <row r="90" ht="15.75" customHeight="1">
      <c r="A90" s="9">
        <v>45731.0</v>
      </c>
      <c r="B90" s="10">
        <v>6151.0</v>
      </c>
      <c r="C90" s="11" t="s">
        <v>142</v>
      </c>
      <c r="D90" s="11" t="s">
        <v>43</v>
      </c>
      <c r="E90" s="11" t="s">
        <v>28</v>
      </c>
      <c r="F90" s="11" t="s">
        <v>29</v>
      </c>
      <c r="G90" s="12">
        <v>8.0</v>
      </c>
      <c r="H90" s="13">
        <v>2756.99</v>
      </c>
      <c r="I90" s="14">
        <f t="shared" si="1"/>
        <v>22055.92</v>
      </c>
      <c r="J90" s="15">
        <f t="shared" si="2"/>
        <v>2025</v>
      </c>
      <c r="K90" s="15">
        <f t="shared" si="3"/>
        <v>3</v>
      </c>
      <c r="L90" s="15">
        <f t="shared" si="4"/>
        <v>15</v>
      </c>
      <c r="M90" s="15">
        <f t="shared" si="5"/>
        <v>7</v>
      </c>
      <c r="N90" s="16">
        <f t="shared" si="6"/>
        <v>8822.368</v>
      </c>
      <c r="O90" s="16">
        <f t="shared" si="7"/>
        <v>2205.592</v>
      </c>
      <c r="P90" s="17" t="str">
        <f t="shared" si="8"/>
        <v>2025_3</v>
      </c>
      <c r="Q90" s="17" t="str">
        <f t="shared" si="9"/>
        <v>VIP</v>
      </c>
    </row>
    <row r="91" ht="15.75" customHeight="1">
      <c r="A91" s="9">
        <v>45641.0</v>
      </c>
      <c r="B91" s="10">
        <v>7336.0</v>
      </c>
      <c r="C91" s="11" t="s">
        <v>143</v>
      </c>
      <c r="D91" s="11" t="s">
        <v>18</v>
      </c>
      <c r="E91" s="11" t="s">
        <v>32</v>
      </c>
      <c r="F91" s="11" t="s">
        <v>56</v>
      </c>
      <c r="G91" s="12">
        <v>3.0</v>
      </c>
      <c r="H91" s="13">
        <v>2208.48</v>
      </c>
      <c r="I91" s="14">
        <f t="shared" si="1"/>
        <v>6625.44</v>
      </c>
      <c r="J91" s="15">
        <f t="shared" si="2"/>
        <v>2024</v>
      </c>
      <c r="K91" s="15">
        <f t="shared" si="3"/>
        <v>12</v>
      </c>
      <c r="L91" s="15">
        <f t="shared" si="4"/>
        <v>15</v>
      </c>
      <c r="M91" s="15">
        <f t="shared" si="5"/>
        <v>1</v>
      </c>
      <c r="N91" s="16">
        <f t="shared" si="6"/>
        <v>2650.176</v>
      </c>
      <c r="O91" s="16">
        <f t="shared" si="7"/>
        <v>662.544</v>
      </c>
      <c r="P91" s="17" t="str">
        <f t="shared" si="8"/>
        <v>2024_12</v>
      </c>
      <c r="Q91" s="17" t="str">
        <f t="shared" si="9"/>
        <v>Não VIP</v>
      </c>
    </row>
    <row r="92" ht="15.75" customHeight="1">
      <c r="A92" s="9">
        <v>45641.0</v>
      </c>
      <c r="B92" s="10">
        <v>8798.0</v>
      </c>
      <c r="C92" s="11" t="s">
        <v>144</v>
      </c>
      <c r="D92" s="11" t="s">
        <v>37</v>
      </c>
      <c r="E92" s="11" t="s">
        <v>28</v>
      </c>
      <c r="F92" s="11" t="s">
        <v>48</v>
      </c>
      <c r="G92" s="12">
        <v>6.0</v>
      </c>
      <c r="H92" s="13">
        <v>1141.24</v>
      </c>
      <c r="I92" s="14">
        <f t="shared" si="1"/>
        <v>6847.44</v>
      </c>
      <c r="J92" s="15">
        <f t="shared" si="2"/>
        <v>2024</v>
      </c>
      <c r="K92" s="15">
        <f t="shared" si="3"/>
        <v>12</v>
      </c>
      <c r="L92" s="15">
        <f t="shared" si="4"/>
        <v>15</v>
      </c>
      <c r="M92" s="15">
        <f t="shared" si="5"/>
        <v>1</v>
      </c>
      <c r="N92" s="16">
        <f t="shared" si="6"/>
        <v>2738.976</v>
      </c>
      <c r="O92" s="16">
        <f t="shared" si="7"/>
        <v>684.744</v>
      </c>
      <c r="P92" s="17" t="str">
        <f t="shared" si="8"/>
        <v>2024_12</v>
      </c>
      <c r="Q92" s="17" t="str">
        <f t="shared" si="9"/>
        <v>Não VIP</v>
      </c>
    </row>
    <row r="93" ht="15.75" customHeight="1">
      <c r="A93" s="9">
        <v>45641.0</v>
      </c>
      <c r="B93" s="10">
        <v>3868.0</v>
      </c>
      <c r="C93" s="11" t="s">
        <v>145</v>
      </c>
      <c r="D93" s="11" t="s">
        <v>18</v>
      </c>
      <c r="E93" s="11" t="s">
        <v>28</v>
      </c>
      <c r="F93" s="11" t="s">
        <v>50</v>
      </c>
      <c r="G93" s="12">
        <v>4.0</v>
      </c>
      <c r="H93" s="13">
        <v>1069.52</v>
      </c>
      <c r="I93" s="14">
        <f t="shared" si="1"/>
        <v>4278.08</v>
      </c>
      <c r="J93" s="15">
        <f t="shared" si="2"/>
        <v>2024</v>
      </c>
      <c r="K93" s="15">
        <f t="shared" si="3"/>
        <v>12</v>
      </c>
      <c r="L93" s="15">
        <f t="shared" si="4"/>
        <v>15</v>
      </c>
      <c r="M93" s="15">
        <f t="shared" si="5"/>
        <v>1</v>
      </c>
      <c r="N93" s="16">
        <f t="shared" si="6"/>
        <v>1711.232</v>
      </c>
      <c r="O93" s="16">
        <f t="shared" si="7"/>
        <v>427.808</v>
      </c>
      <c r="P93" s="17" t="str">
        <f t="shared" si="8"/>
        <v>2024_12</v>
      </c>
      <c r="Q93" s="17" t="str">
        <f t="shared" si="9"/>
        <v>Não VIP</v>
      </c>
    </row>
    <row r="94" ht="15.75" customHeight="1">
      <c r="A94" s="9">
        <v>45732.0</v>
      </c>
      <c r="B94" s="10">
        <v>3349.0</v>
      </c>
      <c r="C94" s="11" t="s">
        <v>146</v>
      </c>
      <c r="D94" s="11" t="s">
        <v>43</v>
      </c>
      <c r="E94" s="11" t="s">
        <v>38</v>
      </c>
      <c r="F94" s="11" t="s">
        <v>66</v>
      </c>
      <c r="G94" s="12">
        <v>8.0</v>
      </c>
      <c r="H94" s="13">
        <v>529.78</v>
      </c>
      <c r="I94" s="14">
        <f t="shared" si="1"/>
        <v>4238.24</v>
      </c>
      <c r="J94" s="15">
        <f t="shared" si="2"/>
        <v>2025</v>
      </c>
      <c r="K94" s="15">
        <f t="shared" si="3"/>
        <v>3</v>
      </c>
      <c r="L94" s="15">
        <f t="shared" si="4"/>
        <v>16</v>
      </c>
      <c r="M94" s="15">
        <f t="shared" si="5"/>
        <v>1</v>
      </c>
      <c r="N94" s="16">
        <f t="shared" si="6"/>
        <v>1695.296</v>
      </c>
      <c r="O94" s="16">
        <f t="shared" si="7"/>
        <v>423.824</v>
      </c>
      <c r="P94" s="17" t="str">
        <f t="shared" si="8"/>
        <v>2025_3</v>
      </c>
      <c r="Q94" s="17" t="str">
        <f t="shared" si="9"/>
        <v>Não VIP</v>
      </c>
    </row>
    <row r="95" ht="15.75" customHeight="1">
      <c r="A95" s="9">
        <v>45793.0</v>
      </c>
      <c r="B95" s="10">
        <v>2699.0</v>
      </c>
      <c r="C95" s="11" t="s">
        <v>147</v>
      </c>
      <c r="D95" s="11" t="s">
        <v>18</v>
      </c>
      <c r="E95" s="11" t="s">
        <v>32</v>
      </c>
      <c r="F95" s="11" t="s">
        <v>100</v>
      </c>
      <c r="G95" s="12">
        <v>4.0</v>
      </c>
      <c r="H95" s="13">
        <v>2082.79</v>
      </c>
      <c r="I95" s="14">
        <f t="shared" si="1"/>
        <v>8331.16</v>
      </c>
      <c r="J95" s="15">
        <f t="shared" si="2"/>
        <v>2025</v>
      </c>
      <c r="K95" s="15">
        <f t="shared" si="3"/>
        <v>5</v>
      </c>
      <c r="L95" s="15">
        <f t="shared" si="4"/>
        <v>16</v>
      </c>
      <c r="M95" s="15">
        <f t="shared" si="5"/>
        <v>6</v>
      </c>
      <c r="N95" s="16">
        <f t="shared" si="6"/>
        <v>3332.464</v>
      </c>
      <c r="O95" s="16">
        <f t="shared" si="7"/>
        <v>833.116</v>
      </c>
      <c r="P95" s="17" t="str">
        <f t="shared" si="8"/>
        <v>2025_5</v>
      </c>
      <c r="Q95" s="17" t="str">
        <f t="shared" si="9"/>
        <v>Não VIP</v>
      </c>
    </row>
    <row r="96" ht="15.75" customHeight="1">
      <c r="A96" s="9">
        <v>45642.0</v>
      </c>
      <c r="B96" s="10">
        <v>2931.0</v>
      </c>
      <c r="C96" s="11" t="s">
        <v>148</v>
      </c>
      <c r="D96" s="11" t="s">
        <v>22</v>
      </c>
      <c r="E96" s="11" t="s">
        <v>28</v>
      </c>
      <c r="F96" s="11" t="s">
        <v>98</v>
      </c>
      <c r="G96" s="12">
        <v>3.0</v>
      </c>
      <c r="H96" s="13">
        <v>398.59</v>
      </c>
      <c r="I96" s="14">
        <f t="shared" si="1"/>
        <v>1195.77</v>
      </c>
      <c r="J96" s="15">
        <f t="shared" si="2"/>
        <v>2024</v>
      </c>
      <c r="K96" s="15">
        <f t="shared" si="3"/>
        <v>12</v>
      </c>
      <c r="L96" s="15">
        <f t="shared" si="4"/>
        <v>16</v>
      </c>
      <c r="M96" s="15">
        <f t="shared" si="5"/>
        <v>2</v>
      </c>
      <c r="N96" s="16">
        <f t="shared" si="6"/>
        <v>478.308</v>
      </c>
      <c r="O96" s="16">
        <f t="shared" si="7"/>
        <v>119.577</v>
      </c>
      <c r="P96" s="17" t="str">
        <f t="shared" si="8"/>
        <v>2024_12</v>
      </c>
      <c r="Q96" s="17" t="str">
        <f t="shared" si="9"/>
        <v>Não VIP</v>
      </c>
    </row>
    <row r="97" ht="15.75" customHeight="1">
      <c r="A97" s="9">
        <v>45674.0</v>
      </c>
      <c r="B97" s="10">
        <v>7620.0</v>
      </c>
      <c r="C97" s="11" t="s">
        <v>149</v>
      </c>
      <c r="D97" s="11" t="s">
        <v>31</v>
      </c>
      <c r="E97" s="11" t="s">
        <v>19</v>
      </c>
      <c r="F97" s="11" t="s">
        <v>58</v>
      </c>
      <c r="G97" s="12">
        <v>1.0</v>
      </c>
      <c r="H97" s="13">
        <v>601.34</v>
      </c>
      <c r="I97" s="14">
        <f t="shared" si="1"/>
        <v>601.34</v>
      </c>
      <c r="J97" s="15">
        <f t="shared" si="2"/>
        <v>2025</v>
      </c>
      <c r="K97" s="15">
        <f t="shared" si="3"/>
        <v>1</v>
      </c>
      <c r="L97" s="15">
        <f t="shared" si="4"/>
        <v>17</v>
      </c>
      <c r="M97" s="15">
        <f t="shared" si="5"/>
        <v>6</v>
      </c>
      <c r="N97" s="16">
        <f t="shared" si="6"/>
        <v>240.536</v>
      </c>
      <c r="O97" s="16">
        <f t="shared" si="7"/>
        <v>60.134</v>
      </c>
      <c r="P97" s="17" t="str">
        <f t="shared" si="8"/>
        <v>2025_1</v>
      </c>
      <c r="Q97" s="17" t="str">
        <f t="shared" si="9"/>
        <v>Não VIP</v>
      </c>
    </row>
    <row r="98" ht="15.75" customHeight="1">
      <c r="A98" s="9">
        <v>45705.0</v>
      </c>
      <c r="B98" s="10">
        <v>7947.0</v>
      </c>
      <c r="C98" s="11" t="s">
        <v>150</v>
      </c>
      <c r="D98" s="11" t="s">
        <v>31</v>
      </c>
      <c r="E98" s="11" t="s">
        <v>23</v>
      </c>
      <c r="F98" s="11" t="s">
        <v>35</v>
      </c>
      <c r="G98" s="12">
        <v>7.0</v>
      </c>
      <c r="H98" s="13">
        <v>1737.15</v>
      </c>
      <c r="I98" s="14">
        <f t="shared" si="1"/>
        <v>12160.05</v>
      </c>
      <c r="J98" s="15">
        <f t="shared" si="2"/>
        <v>2025</v>
      </c>
      <c r="K98" s="15">
        <f t="shared" si="3"/>
        <v>2</v>
      </c>
      <c r="L98" s="15">
        <f t="shared" si="4"/>
        <v>17</v>
      </c>
      <c r="M98" s="15">
        <f t="shared" si="5"/>
        <v>2</v>
      </c>
      <c r="N98" s="16">
        <f t="shared" si="6"/>
        <v>4864.02</v>
      </c>
      <c r="O98" s="16">
        <f t="shared" si="7"/>
        <v>1216.005</v>
      </c>
      <c r="P98" s="17" t="str">
        <f t="shared" si="8"/>
        <v>2025_2</v>
      </c>
      <c r="Q98" s="17" t="str">
        <f t="shared" si="9"/>
        <v>VIP</v>
      </c>
    </row>
    <row r="99" ht="15.75" customHeight="1">
      <c r="A99" s="9">
        <v>45733.0</v>
      </c>
      <c r="B99" s="10">
        <v>3608.0</v>
      </c>
      <c r="C99" s="11" t="s">
        <v>151</v>
      </c>
      <c r="D99" s="11" t="s">
        <v>18</v>
      </c>
      <c r="E99" s="11" t="s">
        <v>32</v>
      </c>
      <c r="F99" s="11" t="s">
        <v>100</v>
      </c>
      <c r="G99" s="12">
        <v>2.0</v>
      </c>
      <c r="H99" s="13">
        <v>2607.24</v>
      </c>
      <c r="I99" s="14">
        <f t="shared" si="1"/>
        <v>5214.48</v>
      </c>
      <c r="J99" s="15">
        <f t="shared" si="2"/>
        <v>2025</v>
      </c>
      <c r="K99" s="15">
        <f t="shared" si="3"/>
        <v>3</v>
      </c>
      <c r="L99" s="15">
        <f t="shared" si="4"/>
        <v>17</v>
      </c>
      <c r="M99" s="15">
        <f t="shared" si="5"/>
        <v>2</v>
      </c>
      <c r="N99" s="16">
        <f t="shared" si="6"/>
        <v>2085.792</v>
      </c>
      <c r="O99" s="16">
        <f t="shared" si="7"/>
        <v>521.448</v>
      </c>
      <c r="P99" s="17" t="str">
        <f t="shared" si="8"/>
        <v>2025_3</v>
      </c>
      <c r="Q99" s="17" t="str">
        <f t="shared" si="9"/>
        <v>Não VIP</v>
      </c>
    </row>
    <row r="100" ht="15.75" customHeight="1">
      <c r="A100" s="9">
        <v>45764.0</v>
      </c>
      <c r="B100" s="10">
        <v>9631.0</v>
      </c>
      <c r="C100" s="11" t="s">
        <v>152</v>
      </c>
      <c r="D100" s="11" t="s">
        <v>31</v>
      </c>
      <c r="E100" s="11" t="s">
        <v>19</v>
      </c>
      <c r="F100" s="11" t="s">
        <v>20</v>
      </c>
      <c r="G100" s="12">
        <v>7.0</v>
      </c>
      <c r="H100" s="13">
        <v>593.3</v>
      </c>
      <c r="I100" s="14">
        <f t="shared" si="1"/>
        <v>4153.1</v>
      </c>
      <c r="J100" s="15">
        <f t="shared" si="2"/>
        <v>2025</v>
      </c>
      <c r="K100" s="15">
        <f t="shared" si="3"/>
        <v>4</v>
      </c>
      <c r="L100" s="15">
        <f t="shared" si="4"/>
        <v>17</v>
      </c>
      <c r="M100" s="15">
        <f t="shared" si="5"/>
        <v>5</v>
      </c>
      <c r="N100" s="16">
        <f t="shared" si="6"/>
        <v>1661.24</v>
      </c>
      <c r="O100" s="16">
        <f t="shared" si="7"/>
        <v>415.31</v>
      </c>
      <c r="P100" s="17" t="str">
        <f t="shared" si="8"/>
        <v>2025_4</v>
      </c>
      <c r="Q100" s="17" t="str">
        <f t="shared" si="9"/>
        <v>Não VIP</v>
      </c>
    </row>
    <row r="101" ht="15.75" customHeight="1">
      <c r="A101" s="9">
        <v>45764.0</v>
      </c>
      <c r="B101" s="10">
        <v>8963.0</v>
      </c>
      <c r="C101" s="11" t="s">
        <v>153</v>
      </c>
      <c r="D101" s="11" t="s">
        <v>43</v>
      </c>
      <c r="E101" s="11" t="s">
        <v>32</v>
      </c>
      <c r="F101" s="11" t="s">
        <v>56</v>
      </c>
      <c r="G101" s="12">
        <v>6.0</v>
      </c>
      <c r="H101" s="13">
        <v>1921.29</v>
      </c>
      <c r="I101" s="14">
        <f t="shared" si="1"/>
        <v>11527.74</v>
      </c>
      <c r="J101" s="15">
        <f t="shared" si="2"/>
        <v>2025</v>
      </c>
      <c r="K101" s="15">
        <f t="shared" si="3"/>
        <v>4</v>
      </c>
      <c r="L101" s="15">
        <f t="shared" si="4"/>
        <v>17</v>
      </c>
      <c r="M101" s="15">
        <f t="shared" si="5"/>
        <v>5</v>
      </c>
      <c r="N101" s="16">
        <f t="shared" si="6"/>
        <v>4611.096</v>
      </c>
      <c r="O101" s="16">
        <f t="shared" si="7"/>
        <v>1152.774</v>
      </c>
      <c r="P101" s="17" t="str">
        <f t="shared" si="8"/>
        <v>2025_4</v>
      </c>
      <c r="Q101" s="17" t="str">
        <f t="shared" si="9"/>
        <v>VIP</v>
      </c>
    </row>
    <row r="102" ht="15.75" customHeight="1">
      <c r="A102" s="9">
        <v>45643.0</v>
      </c>
      <c r="B102" s="10">
        <v>6284.0</v>
      </c>
      <c r="C102" s="11" t="s">
        <v>154</v>
      </c>
      <c r="D102" s="11" t="s">
        <v>22</v>
      </c>
      <c r="E102" s="11" t="s">
        <v>38</v>
      </c>
      <c r="F102" s="11" t="s">
        <v>54</v>
      </c>
      <c r="G102" s="12">
        <v>10.0</v>
      </c>
      <c r="H102" s="13">
        <v>34.15</v>
      </c>
      <c r="I102" s="14">
        <f t="shared" si="1"/>
        <v>341.5</v>
      </c>
      <c r="J102" s="15">
        <f t="shared" si="2"/>
        <v>2024</v>
      </c>
      <c r="K102" s="15">
        <f t="shared" si="3"/>
        <v>12</v>
      </c>
      <c r="L102" s="15">
        <f t="shared" si="4"/>
        <v>17</v>
      </c>
      <c r="M102" s="15">
        <f t="shared" si="5"/>
        <v>3</v>
      </c>
      <c r="N102" s="16">
        <f t="shared" si="6"/>
        <v>136.6</v>
      </c>
      <c r="O102" s="16">
        <f t="shared" si="7"/>
        <v>34.15</v>
      </c>
      <c r="P102" s="17" t="str">
        <f t="shared" si="8"/>
        <v>2024_12</v>
      </c>
      <c r="Q102" s="17" t="str">
        <f t="shared" si="9"/>
        <v>Não VIP</v>
      </c>
    </row>
    <row r="103" ht="15.75" customHeight="1">
      <c r="A103" s="9">
        <v>45643.0</v>
      </c>
      <c r="B103" s="10">
        <v>3543.0</v>
      </c>
      <c r="C103" s="11" t="s">
        <v>155</v>
      </c>
      <c r="D103" s="11" t="s">
        <v>31</v>
      </c>
      <c r="E103" s="11" t="s">
        <v>28</v>
      </c>
      <c r="F103" s="11" t="s">
        <v>98</v>
      </c>
      <c r="G103" s="12">
        <v>5.0</v>
      </c>
      <c r="H103" s="13">
        <v>158.02</v>
      </c>
      <c r="I103" s="14">
        <f t="shared" si="1"/>
        <v>790.1</v>
      </c>
      <c r="J103" s="15">
        <f t="shared" si="2"/>
        <v>2024</v>
      </c>
      <c r="K103" s="15">
        <f t="shared" si="3"/>
        <v>12</v>
      </c>
      <c r="L103" s="15">
        <f t="shared" si="4"/>
        <v>17</v>
      </c>
      <c r="M103" s="15">
        <f t="shared" si="5"/>
        <v>3</v>
      </c>
      <c r="N103" s="16">
        <f t="shared" si="6"/>
        <v>316.04</v>
      </c>
      <c r="O103" s="16">
        <f t="shared" si="7"/>
        <v>79.01</v>
      </c>
      <c r="P103" s="17" t="str">
        <f t="shared" si="8"/>
        <v>2024_12</v>
      </c>
      <c r="Q103" s="17" t="str">
        <f t="shared" si="9"/>
        <v>Não VIP</v>
      </c>
    </row>
    <row r="104" ht="15.75" customHeight="1">
      <c r="A104" s="9">
        <v>45675.0</v>
      </c>
      <c r="B104" s="10">
        <v>1583.0</v>
      </c>
      <c r="C104" s="11" t="s">
        <v>156</v>
      </c>
      <c r="D104" s="11" t="s">
        <v>65</v>
      </c>
      <c r="E104" s="11" t="s">
        <v>32</v>
      </c>
      <c r="F104" s="11" t="s">
        <v>33</v>
      </c>
      <c r="G104" s="12">
        <v>4.0</v>
      </c>
      <c r="H104" s="13">
        <v>2912.84</v>
      </c>
      <c r="I104" s="14">
        <f t="shared" si="1"/>
        <v>11651.36</v>
      </c>
      <c r="J104" s="15">
        <f t="shared" si="2"/>
        <v>2025</v>
      </c>
      <c r="K104" s="15">
        <f t="shared" si="3"/>
        <v>1</v>
      </c>
      <c r="L104" s="15">
        <f t="shared" si="4"/>
        <v>18</v>
      </c>
      <c r="M104" s="15">
        <f t="shared" si="5"/>
        <v>7</v>
      </c>
      <c r="N104" s="16">
        <f t="shared" si="6"/>
        <v>4660.544</v>
      </c>
      <c r="O104" s="16">
        <f t="shared" si="7"/>
        <v>1165.136</v>
      </c>
      <c r="P104" s="17" t="str">
        <f t="shared" si="8"/>
        <v>2025_1</v>
      </c>
      <c r="Q104" s="17" t="str">
        <f t="shared" si="9"/>
        <v>VIP</v>
      </c>
    </row>
    <row r="105" ht="15.75" customHeight="1">
      <c r="A105" s="9">
        <v>45675.0</v>
      </c>
      <c r="B105" s="10">
        <v>5156.0</v>
      </c>
      <c r="C105" s="11" t="s">
        <v>157</v>
      </c>
      <c r="D105" s="11" t="s">
        <v>43</v>
      </c>
      <c r="E105" s="11" t="s">
        <v>19</v>
      </c>
      <c r="F105" s="11" t="s">
        <v>46</v>
      </c>
      <c r="G105" s="12">
        <v>5.0</v>
      </c>
      <c r="H105" s="13">
        <v>457.74</v>
      </c>
      <c r="I105" s="14">
        <f t="shared" si="1"/>
        <v>2288.7</v>
      </c>
      <c r="J105" s="15">
        <f t="shared" si="2"/>
        <v>2025</v>
      </c>
      <c r="K105" s="15">
        <f t="shared" si="3"/>
        <v>1</v>
      </c>
      <c r="L105" s="15">
        <f t="shared" si="4"/>
        <v>18</v>
      </c>
      <c r="M105" s="15">
        <f t="shared" si="5"/>
        <v>7</v>
      </c>
      <c r="N105" s="16">
        <f t="shared" si="6"/>
        <v>915.48</v>
      </c>
      <c r="O105" s="16">
        <f t="shared" si="7"/>
        <v>228.87</v>
      </c>
      <c r="P105" s="17" t="str">
        <f t="shared" si="8"/>
        <v>2025_1</v>
      </c>
      <c r="Q105" s="17" t="str">
        <f t="shared" si="9"/>
        <v>Não VIP</v>
      </c>
    </row>
    <row r="106" ht="15.75" customHeight="1">
      <c r="A106" s="9">
        <v>45675.0</v>
      </c>
      <c r="B106" s="10">
        <v>8312.0</v>
      </c>
      <c r="C106" s="11" t="s">
        <v>158</v>
      </c>
      <c r="D106" s="11" t="s">
        <v>22</v>
      </c>
      <c r="E106" s="11" t="s">
        <v>19</v>
      </c>
      <c r="F106" s="11" t="s">
        <v>20</v>
      </c>
      <c r="G106" s="12">
        <v>1.0</v>
      </c>
      <c r="H106" s="13">
        <v>1574.61</v>
      </c>
      <c r="I106" s="14">
        <f t="shared" si="1"/>
        <v>1574.61</v>
      </c>
      <c r="J106" s="15">
        <f t="shared" si="2"/>
        <v>2025</v>
      </c>
      <c r="K106" s="15">
        <f t="shared" si="3"/>
        <v>1</v>
      </c>
      <c r="L106" s="15">
        <f t="shared" si="4"/>
        <v>18</v>
      </c>
      <c r="M106" s="15">
        <f t="shared" si="5"/>
        <v>7</v>
      </c>
      <c r="N106" s="16">
        <f t="shared" si="6"/>
        <v>629.844</v>
      </c>
      <c r="O106" s="16">
        <f t="shared" si="7"/>
        <v>157.461</v>
      </c>
      <c r="P106" s="17" t="str">
        <f t="shared" si="8"/>
        <v>2025_1</v>
      </c>
      <c r="Q106" s="17" t="str">
        <f t="shared" si="9"/>
        <v>Não VIP</v>
      </c>
    </row>
    <row r="107" ht="15.75" customHeight="1">
      <c r="A107" s="9">
        <v>45706.0</v>
      </c>
      <c r="B107" s="10">
        <v>2585.0</v>
      </c>
      <c r="C107" s="11" t="s">
        <v>159</v>
      </c>
      <c r="D107" s="11" t="s">
        <v>22</v>
      </c>
      <c r="E107" s="11" t="s">
        <v>28</v>
      </c>
      <c r="F107" s="11" t="s">
        <v>50</v>
      </c>
      <c r="G107" s="12">
        <v>2.0</v>
      </c>
      <c r="H107" s="13">
        <v>1189.63</v>
      </c>
      <c r="I107" s="14">
        <f t="shared" si="1"/>
        <v>2379.26</v>
      </c>
      <c r="J107" s="15">
        <f t="shared" si="2"/>
        <v>2025</v>
      </c>
      <c r="K107" s="15">
        <f t="shared" si="3"/>
        <v>2</v>
      </c>
      <c r="L107" s="15">
        <f t="shared" si="4"/>
        <v>18</v>
      </c>
      <c r="M107" s="15">
        <f t="shared" si="5"/>
        <v>3</v>
      </c>
      <c r="N107" s="16">
        <f t="shared" si="6"/>
        <v>951.704</v>
      </c>
      <c r="O107" s="16">
        <f t="shared" si="7"/>
        <v>237.926</v>
      </c>
      <c r="P107" s="17" t="str">
        <f t="shared" si="8"/>
        <v>2025_2</v>
      </c>
      <c r="Q107" s="17" t="str">
        <f t="shared" si="9"/>
        <v>Não VIP</v>
      </c>
    </row>
    <row r="108" ht="15.75" customHeight="1">
      <c r="A108" s="9">
        <v>45734.0</v>
      </c>
      <c r="B108" s="10">
        <v>7503.0</v>
      </c>
      <c r="C108" s="11" t="s">
        <v>160</v>
      </c>
      <c r="D108" s="11" t="s">
        <v>22</v>
      </c>
      <c r="E108" s="11" t="s">
        <v>32</v>
      </c>
      <c r="F108" s="11" t="s">
        <v>100</v>
      </c>
      <c r="G108" s="12">
        <v>5.0</v>
      </c>
      <c r="H108" s="13">
        <v>692.95</v>
      </c>
      <c r="I108" s="14">
        <f t="shared" si="1"/>
        <v>3464.75</v>
      </c>
      <c r="J108" s="15">
        <f t="shared" si="2"/>
        <v>2025</v>
      </c>
      <c r="K108" s="15">
        <f t="shared" si="3"/>
        <v>3</v>
      </c>
      <c r="L108" s="15">
        <f t="shared" si="4"/>
        <v>18</v>
      </c>
      <c r="M108" s="15">
        <f t="shared" si="5"/>
        <v>3</v>
      </c>
      <c r="N108" s="16">
        <f t="shared" si="6"/>
        <v>1385.9</v>
      </c>
      <c r="O108" s="16">
        <f t="shared" si="7"/>
        <v>346.475</v>
      </c>
      <c r="P108" s="17" t="str">
        <f t="shared" si="8"/>
        <v>2025_3</v>
      </c>
      <c r="Q108" s="17" t="str">
        <f t="shared" si="9"/>
        <v>Não VIP</v>
      </c>
    </row>
    <row r="109" ht="15.75" customHeight="1">
      <c r="A109" s="9">
        <v>45734.0</v>
      </c>
      <c r="B109" s="10">
        <v>3463.0</v>
      </c>
      <c r="C109" s="11" t="s">
        <v>161</v>
      </c>
      <c r="D109" s="11" t="s">
        <v>65</v>
      </c>
      <c r="E109" s="11" t="s">
        <v>32</v>
      </c>
      <c r="F109" s="11" t="s">
        <v>85</v>
      </c>
      <c r="G109" s="12">
        <v>4.0</v>
      </c>
      <c r="H109" s="13">
        <v>22.36</v>
      </c>
      <c r="I109" s="14">
        <f t="shared" si="1"/>
        <v>89.44</v>
      </c>
      <c r="J109" s="15">
        <f t="shared" si="2"/>
        <v>2025</v>
      </c>
      <c r="K109" s="15">
        <f t="shared" si="3"/>
        <v>3</v>
      </c>
      <c r="L109" s="15">
        <f t="shared" si="4"/>
        <v>18</v>
      </c>
      <c r="M109" s="15">
        <f t="shared" si="5"/>
        <v>3</v>
      </c>
      <c r="N109" s="16">
        <f t="shared" si="6"/>
        <v>35.776</v>
      </c>
      <c r="O109" s="16">
        <f t="shared" si="7"/>
        <v>8.944</v>
      </c>
      <c r="P109" s="17" t="str">
        <f t="shared" si="8"/>
        <v>2025_3</v>
      </c>
      <c r="Q109" s="17" t="str">
        <f t="shared" si="9"/>
        <v>Não VIP</v>
      </c>
    </row>
    <row r="110" ht="15.75" customHeight="1">
      <c r="A110" s="9">
        <v>45765.0</v>
      </c>
      <c r="B110" s="10">
        <v>3027.0</v>
      </c>
      <c r="C110" s="11" t="s">
        <v>162</v>
      </c>
      <c r="D110" s="11" t="s">
        <v>43</v>
      </c>
      <c r="E110" s="11" t="s">
        <v>19</v>
      </c>
      <c r="F110" s="11" t="s">
        <v>44</v>
      </c>
      <c r="G110" s="12">
        <v>1.0</v>
      </c>
      <c r="H110" s="13">
        <v>2192.52</v>
      </c>
      <c r="I110" s="14">
        <f t="shared" si="1"/>
        <v>2192.52</v>
      </c>
      <c r="J110" s="15">
        <f t="shared" si="2"/>
        <v>2025</v>
      </c>
      <c r="K110" s="15">
        <f t="shared" si="3"/>
        <v>4</v>
      </c>
      <c r="L110" s="15">
        <f t="shared" si="4"/>
        <v>18</v>
      </c>
      <c r="M110" s="15">
        <f t="shared" si="5"/>
        <v>6</v>
      </c>
      <c r="N110" s="16">
        <f t="shared" si="6"/>
        <v>877.008</v>
      </c>
      <c r="O110" s="16">
        <f t="shared" si="7"/>
        <v>219.252</v>
      </c>
      <c r="P110" s="17" t="str">
        <f t="shared" si="8"/>
        <v>2025_4</v>
      </c>
      <c r="Q110" s="17" t="str">
        <f t="shared" si="9"/>
        <v>Não VIP</v>
      </c>
    </row>
    <row r="111" ht="15.75" customHeight="1">
      <c r="A111" s="9">
        <v>45765.0</v>
      </c>
      <c r="B111" s="10">
        <v>9002.0</v>
      </c>
      <c r="C111" s="11" t="s">
        <v>163</v>
      </c>
      <c r="D111" s="11" t="s">
        <v>37</v>
      </c>
      <c r="E111" s="11" t="s">
        <v>38</v>
      </c>
      <c r="F111" s="11" t="s">
        <v>60</v>
      </c>
      <c r="G111" s="12">
        <v>8.0</v>
      </c>
      <c r="H111" s="13">
        <v>781.16</v>
      </c>
      <c r="I111" s="14">
        <f t="shared" si="1"/>
        <v>6249.28</v>
      </c>
      <c r="J111" s="15">
        <f t="shared" si="2"/>
        <v>2025</v>
      </c>
      <c r="K111" s="15">
        <f t="shared" si="3"/>
        <v>4</v>
      </c>
      <c r="L111" s="15">
        <f t="shared" si="4"/>
        <v>18</v>
      </c>
      <c r="M111" s="15">
        <f t="shared" si="5"/>
        <v>6</v>
      </c>
      <c r="N111" s="16">
        <f t="shared" si="6"/>
        <v>2499.712</v>
      </c>
      <c r="O111" s="16">
        <f t="shared" si="7"/>
        <v>624.928</v>
      </c>
      <c r="P111" s="17" t="str">
        <f t="shared" si="8"/>
        <v>2025_4</v>
      </c>
      <c r="Q111" s="17" t="str">
        <f t="shared" si="9"/>
        <v>Não VIP</v>
      </c>
    </row>
    <row r="112" ht="15.75" customHeight="1">
      <c r="A112" s="9">
        <v>45795.0</v>
      </c>
      <c r="B112" s="10">
        <v>6139.0</v>
      </c>
      <c r="C112" s="11" t="s">
        <v>164</v>
      </c>
      <c r="D112" s="11" t="s">
        <v>18</v>
      </c>
      <c r="E112" s="11" t="s">
        <v>19</v>
      </c>
      <c r="F112" s="11" t="s">
        <v>41</v>
      </c>
      <c r="G112" s="12">
        <v>8.0</v>
      </c>
      <c r="H112" s="13">
        <v>363.87</v>
      </c>
      <c r="I112" s="14">
        <f t="shared" si="1"/>
        <v>2910.96</v>
      </c>
      <c r="J112" s="15">
        <f t="shared" si="2"/>
        <v>2025</v>
      </c>
      <c r="K112" s="15">
        <f t="shared" si="3"/>
        <v>5</v>
      </c>
      <c r="L112" s="15">
        <f t="shared" si="4"/>
        <v>18</v>
      </c>
      <c r="M112" s="15">
        <f t="shared" si="5"/>
        <v>1</v>
      </c>
      <c r="N112" s="16">
        <f t="shared" si="6"/>
        <v>1164.384</v>
      </c>
      <c r="O112" s="16">
        <f t="shared" si="7"/>
        <v>291.096</v>
      </c>
      <c r="P112" s="17" t="str">
        <f t="shared" si="8"/>
        <v>2025_5</v>
      </c>
      <c r="Q112" s="17" t="str">
        <f t="shared" si="9"/>
        <v>Não VIP</v>
      </c>
    </row>
    <row r="113" ht="15.75" customHeight="1">
      <c r="A113" s="9">
        <v>45676.0</v>
      </c>
      <c r="B113" s="10">
        <v>8716.0</v>
      </c>
      <c r="C113" s="11" t="s">
        <v>165</v>
      </c>
      <c r="D113" s="11" t="s">
        <v>31</v>
      </c>
      <c r="E113" s="11" t="s">
        <v>23</v>
      </c>
      <c r="F113" s="11" t="s">
        <v>24</v>
      </c>
      <c r="G113" s="12">
        <v>7.0</v>
      </c>
      <c r="H113" s="13">
        <v>588.56</v>
      </c>
      <c r="I113" s="14">
        <f t="shared" si="1"/>
        <v>4119.92</v>
      </c>
      <c r="J113" s="15">
        <f t="shared" si="2"/>
        <v>2025</v>
      </c>
      <c r="K113" s="15">
        <f t="shared" si="3"/>
        <v>1</v>
      </c>
      <c r="L113" s="15">
        <f t="shared" si="4"/>
        <v>19</v>
      </c>
      <c r="M113" s="15">
        <f t="shared" si="5"/>
        <v>1</v>
      </c>
      <c r="N113" s="16">
        <f t="shared" si="6"/>
        <v>1647.968</v>
      </c>
      <c r="O113" s="16">
        <f t="shared" si="7"/>
        <v>411.992</v>
      </c>
      <c r="P113" s="17" t="str">
        <f t="shared" si="8"/>
        <v>2025_1</v>
      </c>
      <c r="Q113" s="17" t="str">
        <f t="shared" si="9"/>
        <v>Não VIP</v>
      </c>
    </row>
    <row r="114" ht="15.75" customHeight="1">
      <c r="A114" s="9">
        <v>45676.0</v>
      </c>
      <c r="B114" s="10">
        <v>7831.0</v>
      </c>
      <c r="C114" s="11" t="s">
        <v>166</v>
      </c>
      <c r="D114" s="11" t="s">
        <v>31</v>
      </c>
      <c r="E114" s="11" t="s">
        <v>32</v>
      </c>
      <c r="F114" s="11" t="s">
        <v>100</v>
      </c>
      <c r="G114" s="12">
        <v>10.0</v>
      </c>
      <c r="H114" s="13">
        <v>2175.89</v>
      </c>
      <c r="I114" s="14">
        <f t="shared" si="1"/>
        <v>21758.9</v>
      </c>
      <c r="J114" s="15">
        <f t="shared" si="2"/>
        <v>2025</v>
      </c>
      <c r="K114" s="15">
        <f t="shared" si="3"/>
        <v>1</v>
      </c>
      <c r="L114" s="15">
        <f t="shared" si="4"/>
        <v>19</v>
      </c>
      <c r="M114" s="15">
        <f t="shared" si="5"/>
        <v>1</v>
      </c>
      <c r="N114" s="16">
        <f t="shared" si="6"/>
        <v>8703.56</v>
      </c>
      <c r="O114" s="16">
        <f t="shared" si="7"/>
        <v>2175.89</v>
      </c>
      <c r="P114" s="17" t="str">
        <f t="shared" si="8"/>
        <v>2025_1</v>
      </c>
      <c r="Q114" s="17" t="str">
        <f t="shared" si="9"/>
        <v>VIP</v>
      </c>
    </row>
    <row r="115" ht="15.75" customHeight="1">
      <c r="A115" s="9">
        <v>45676.0</v>
      </c>
      <c r="B115" s="10">
        <v>5178.0</v>
      </c>
      <c r="C115" s="11" t="s">
        <v>167</v>
      </c>
      <c r="D115" s="11" t="s">
        <v>22</v>
      </c>
      <c r="E115" s="11" t="s">
        <v>23</v>
      </c>
      <c r="F115" s="11" t="s">
        <v>52</v>
      </c>
      <c r="G115" s="12">
        <v>6.0</v>
      </c>
      <c r="H115" s="13">
        <v>753.5</v>
      </c>
      <c r="I115" s="14">
        <f t="shared" si="1"/>
        <v>4521</v>
      </c>
      <c r="J115" s="15">
        <f t="shared" si="2"/>
        <v>2025</v>
      </c>
      <c r="K115" s="15">
        <f t="shared" si="3"/>
        <v>1</v>
      </c>
      <c r="L115" s="15">
        <f t="shared" si="4"/>
        <v>19</v>
      </c>
      <c r="M115" s="15">
        <f t="shared" si="5"/>
        <v>1</v>
      </c>
      <c r="N115" s="16">
        <f t="shared" si="6"/>
        <v>1808.4</v>
      </c>
      <c r="O115" s="16">
        <f t="shared" si="7"/>
        <v>452.1</v>
      </c>
      <c r="P115" s="17" t="str">
        <f t="shared" si="8"/>
        <v>2025_1</v>
      </c>
      <c r="Q115" s="17" t="str">
        <f t="shared" si="9"/>
        <v>Não VIP</v>
      </c>
    </row>
    <row r="116" ht="15.75" customHeight="1">
      <c r="A116" s="9">
        <v>45707.0</v>
      </c>
      <c r="B116" s="10">
        <v>9988.0</v>
      </c>
      <c r="C116" s="11" t="s">
        <v>168</v>
      </c>
      <c r="D116" s="11" t="s">
        <v>22</v>
      </c>
      <c r="E116" s="11" t="s">
        <v>19</v>
      </c>
      <c r="F116" s="11" t="s">
        <v>46</v>
      </c>
      <c r="G116" s="12">
        <v>1.0</v>
      </c>
      <c r="H116" s="13">
        <v>505.04</v>
      </c>
      <c r="I116" s="14">
        <f t="shared" si="1"/>
        <v>505.04</v>
      </c>
      <c r="J116" s="15">
        <f t="shared" si="2"/>
        <v>2025</v>
      </c>
      <c r="K116" s="15">
        <f t="shared" si="3"/>
        <v>2</v>
      </c>
      <c r="L116" s="15">
        <f t="shared" si="4"/>
        <v>19</v>
      </c>
      <c r="M116" s="15">
        <f t="shared" si="5"/>
        <v>4</v>
      </c>
      <c r="N116" s="16">
        <f t="shared" si="6"/>
        <v>202.016</v>
      </c>
      <c r="O116" s="16">
        <f t="shared" si="7"/>
        <v>50.504</v>
      </c>
      <c r="P116" s="17" t="str">
        <f t="shared" si="8"/>
        <v>2025_2</v>
      </c>
      <c r="Q116" s="17" t="str">
        <f t="shared" si="9"/>
        <v>Não VIP</v>
      </c>
    </row>
    <row r="117" ht="15.75" customHeight="1">
      <c r="A117" s="9">
        <v>45766.0</v>
      </c>
      <c r="B117" s="10">
        <v>1368.0</v>
      </c>
      <c r="C117" s="11" t="s">
        <v>169</v>
      </c>
      <c r="D117" s="11" t="s">
        <v>65</v>
      </c>
      <c r="E117" s="11" t="s">
        <v>28</v>
      </c>
      <c r="F117" s="11" t="s">
        <v>50</v>
      </c>
      <c r="G117" s="12">
        <v>2.0</v>
      </c>
      <c r="H117" s="13">
        <v>1793.52</v>
      </c>
      <c r="I117" s="14">
        <f t="shared" si="1"/>
        <v>3587.04</v>
      </c>
      <c r="J117" s="15">
        <f t="shared" si="2"/>
        <v>2025</v>
      </c>
      <c r="K117" s="15">
        <f t="shared" si="3"/>
        <v>4</v>
      </c>
      <c r="L117" s="15">
        <f t="shared" si="4"/>
        <v>19</v>
      </c>
      <c r="M117" s="15">
        <f t="shared" si="5"/>
        <v>7</v>
      </c>
      <c r="N117" s="16">
        <f t="shared" si="6"/>
        <v>1434.816</v>
      </c>
      <c r="O117" s="16">
        <f t="shared" si="7"/>
        <v>358.704</v>
      </c>
      <c r="P117" s="17" t="str">
        <f t="shared" si="8"/>
        <v>2025_4</v>
      </c>
      <c r="Q117" s="17" t="str">
        <f t="shared" si="9"/>
        <v>Não VIP</v>
      </c>
    </row>
    <row r="118" ht="15.75" customHeight="1">
      <c r="A118" s="9">
        <v>45796.0</v>
      </c>
      <c r="B118" s="10">
        <v>5556.0</v>
      </c>
      <c r="C118" s="11" t="s">
        <v>170</v>
      </c>
      <c r="D118" s="11" t="s">
        <v>27</v>
      </c>
      <c r="E118" s="11" t="s">
        <v>23</v>
      </c>
      <c r="F118" s="11" t="s">
        <v>125</v>
      </c>
      <c r="G118" s="12">
        <v>9.0</v>
      </c>
      <c r="H118" s="13">
        <v>589.42</v>
      </c>
      <c r="I118" s="14">
        <f t="shared" si="1"/>
        <v>5304.78</v>
      </c>
      <c r="J118" s="15">
        <f t="shared" si="2"/>
        <v>2025</v>
      </c>
      <c r="K118" s="15">
        <f t="shared" si="3"/>
        <v>5</v>
      </c>
      <c r="L118" s="15">
        <f t="shared" si="4"/>
        <v>19</v>
      </c>
      <c r="M118" s="15">
        <f t="shared" si="5"/>
        <v>2</v>
      </c>
      <c r="N118" s="16">
        <f t="shared" si="6"/>
        <v>2121.912</v>
      </c>
      <c r="O118" s="16">
        <f t="shared" si="7"/>
        <v>530.478</v>
      </c>
      <c r="P118" s="17" t="str">
        <f t="shared" si="8"/>
        <v>2025_5</v>
      </c>
      <c r="Q118" s="17" t="str">
        <f t="shared" si="9"/>
        <v>Não VIP</v>
      </c>
    </row>
    <row r="119" ht="15.75" customHeight="1">
      <c r="A119" s="9">
        <v>45645.0</v>
      </c>
      <c r="B119" s="10">
        <v>4729.0</v>
      </c>
      <c r="C119" s="11" t="s">
        <v>171</v>
      </c>
      <c r="D119" s="11" t="s">
        <v>22</v>
      </c>
      <c r="E119" s="11" t="s">
        <v>23</v>
      </c>
      <c r="F119" s="11" t="s">
        <v>35</v>
      </c>
      <c r="G119" s="12">
        <v>9.0</v>
      </c>
      <c r="H119" s="13">
        <v>1811.24</v>
      </c>
      <c r="I119" s="14">
        <f t="shared" si="1"/>
        <v>16301.16</v>
      </c>
      <c r="J119" s="15">
        <f t="shared" si="2"/>
        <v>2024</v>
      </c>
      <c r="K119" s="15">
        <f t="shared" si="3"/>
        <v>12</v>
      </c>
      <c r="L119" s="15">
        <f t="shared" si="4"/>
        <v>19</v>
      </c>
      <c r="M119" s="15">
        <f t="shared" si="5"/>
        <v>5</v>
      </c>
      <c r="N119" s="16">
        <f t="shared" si="6"/>
        <v>6520.464</v>
      </c>
      <c r="O119" s="16">
        <f t="shared" si="7"/>
        <v>1630.116</v>
      </c>
      <c r="P119" s="17" t="str">
        <f t="shared" si="8"/>
        <v>2024_12</v>
      </c>
      <c r="Q119" s="17" t="str">
        <f t="shared" si="9"/>
        <v>VIP</v>
      </c>
    </row>
    <row r="120" ht="15.75" customHeight="1">
      <c r="A120" s="9">
        <v>45645.0</v>
      </c>
      <c r="B120" s="10">
        <v>5327.0</v>
      </c>
      <c r="C120" s="11" t="s">
        <v>172</v>
      </c>
      <c r="D120" s="11" t="s">
        <v>37</v>
      </c>
      <c r="E120" s="11" t="s">
        <v>32</v>
      </c>
      <c r="F120" s="11" t="s">
        <v>100</v>
      </c>
      <c r="G120" s="12">
        <v>3.0</v>
      </c>
      <c r="H120" s="13">
        <v>697.56</v>
      </c>
      <c r="I120" s="14">
        <f t="shared" si="1"/>
        <v>2092.68</v>
      </c>
      <c r="J120" s="15">
        <f t="shared" si="2"/>
        <v>2024</v>
      </c>
      <c r="K120" s="15">
        <f t="shared" si="3"/>
        <v>12</v>
      </c>
      <c r="L120" s="15">
        <f t="shared" si="4"/>
        <v>19</v>
      </c>
      <c r="M120" s="15">
        <f t="shared" si="5"/>
        <v>5</v>
      </c>
      <c r="N120" s="16">
        <f t="shared" si="6"/>
        <v>837.072</v>
      </c>
      <c r="O120" s="16">
        <f t="shared" si="7"/>
        <v>209.268</v>
      </c>
      <c r="P120" s="17" t="str">
        <f t="shared" si="8"/>
        <v>2024_12</v>
      </c>
      <c r="Q120" s="17" t="str">
        <f t="shared" si="9"/>
        <v>Não VIP</v>
      </c>
    </row>
    <row r="121" ht="15.75" customHeight="1">
      <c r="A121" s="9">
        <v>45645.0</v>
      </c>
      <c r="B121" s="10">
        <v>3110.0</v>
      </c>
      <c r="C121" s="11" t="s">
        <v>173</v>
      </c>
      <c r="D121" s="11" t="s">
        <v>43</v>
      </c>
      <c r="E121" s="11" t="s">
        <v>38</v>
      </c>
      <c r="F121" s="11" t="s">
        <v>39</v>
      </c>
      <c r="G121" s="12">
        <v>10.0</v>
      </c>
      <c r="H121" s="13">
        <v>1507.34</v>
      </c>
      <c r="I121" s="14">
        <f t="shared" si="1"/>
        <v>15073.4</v>
      </c>
      <c r="J121" s="15">
        <f t="shared" si="2"/>
        <v>2024</v>
      </c>
      <c r="K121" s="15">
        <f t="shared" si="3"/>
        <v>12</v>
      </c>
      <c r="L121" s="15">
        <f t="shared" si="4"/>
        <v>19</v>
      </c>
      <c r="M121" s="15">
        <f t="shared" si="5"/>
        <v>5</v>
      </c>
      <c r="N121" s="16">
        <f t="shared" si="6"/>
        <v>6029.36</v>
      </c>
      <c r="O121" s="16">
        <f t="shared" si="7"/>
        <v>1507.34</v>
      </c>
      <c r="P121" s="17" t="str">
        <f t="shared" si="8"/>
        <v>2024_12</v>
      </c>
      <c r="Q121" s="17" t="str">
        <f t="shared" si="9"/>
        <v>VIP</v>
      </c>
    </row>
    <row r="122" ht="15.75" customHeight="1">
      <c r="A122" s="9">
        <v>45677.0</v>
      </c>
      <c r="B122" s="10">
        <v>7981.0</v>
      </c>
      <c r="C122" s="11" t="s">
        <v>174</v>
      </c>
      <c r="D122" s="11" t="s">
        <v>27</v>
      </c>
      <c r="E122" s="11" t="s">
        <v>19</v>
      </c>
      <c r="F122" s="11" t="s">
        <v>58</v>
      </c>
      <c r="G122" s="12">
        <v>4.0</v>
      </c>
      <c r="H122" s="13">
        <v>2972.09</v>
      </c>
      <c r="I122" s="14">
        <f t="shared" si="1"/>
        <v>11888.36</v>
      </c>
      <c r="J122" s="15">
        <f t="shared" si="2"/>
        <v>2025</v>
      </c>
      <c r="K122" s="15">
        <f t="shared" si="3"/>
        <v>1</v>
      </c>
      <c r="L122" s="15">
        <f t="shared" si="4"/>
        <v>20</v>
      </c>
      <c r="M122" s="15">
        <f t="shared" si="5"/>
        <v>2</v>
      </c>
      <c r="N122" s="16">
        <f t="shared" si="6"/>
        <v>4755.344</v>
      </c>
      <c r="O122" s="16">
        <f t="shared" si="7"/>
        <v>1188.836</v>
      </c>
      <c r="P122" s="17" t="str">
        <f t="shared" si="8"/>
        <v>2025_1</v>
      </c>
      <c r="Q122" s="17" t="str">
        <f t="shared" si="9"/>
        <v>VIP</v>
      </c>
    </row>
    <row r="123" ht="15.75" customHeight="1">
      <c r="A123" s="9">
        <v>45708.0</v>
      </c>
      <c r="B123" s="10">
        <v>3774.0</v>
      </c>
      <c r="C123" s="11" t="s">
        <v>175</v>
      </c>
      <c r="D123" s="11" t="s">
        <v>18</v>
      </c>
      <c r="E123" s="11" t="s">
        <v>23</v>
      </c>
      <c r="F123" s="11" t="s">
        <v>80</v>
      </c>
      <c r="G123" s="12">
        <v>1.0</v>
      </c>
      <c r="H123" s="13">
        <v>791.68</v>
      </c>
      <c r="I123" s="14">
        <f t="shared" si="1"/>
        <v>791.68</v>
      </c>
      <c r="J123" s="15">
        <f t="shared" si="2"/>
        <v>2025</v>
      </c>
      <c r="K123" s="15">
        <f t="shared" si="3"/>
        <v>2</v>
      </c>
      <c r="L123" s="15">
        <f t="shared" si="4"/>
        <v>20</v>
      </c>
      <c r="M123" s="15">
        <f t="shared" si="5"/>
        <v>5</v>
      </c>
      <c r="N123" s="16">
        <f t="shared" si="6"/>
        <v>316.672</v>
      </c>
      <c r="O123" s="16">
        <f t="shared" si="7"/>
        <v>79.168</v>
      </c>
      <c r="P123" s="17" t="str">
        <f t="shared" si="8"/>
        <v>2025_2</v>
      </c>
      <c r="Q123" s="17" t="str">
        <f t="shared" si="9"/>
        <v>Não VIP</v>
      </c>
    </row>
    <row r="124" ht="15.75" customHeight="1">
      <c r="A124" s="9">
        <v>45708.0</v>
      </c>
      <c r="B124" s="10">
        <v>5607.0</v>
      </c>
      <c r="C124" s="11" t="s">
        <v>176</v>
      </c>
      <c r="D124" s="11" t="s">
        <v>43</v>
      </c>
      <c r="E124" s="11" t="s">
        <v>23</v>
      </c>
      <c r="F124" s="11" t="s">
        <v>80</v>
      </c>
      <c r="G124" s="12">
        <v>1.0</v>
      </c>
      <c r="H124" s="13">
        <v>1157.85</v>
      </c>
      <c r="I124" s="14">
        <f t="shared" si="1"/>
        <v>1157.85</v>
      </c>
      <c r="J124" s="15">
        <f t="shared" si="2"/>
        <v>2025</v>
      </c>
      <c r="K124" s="15">
        <f t="shared" si="3"/>
        <v>2</v>
      </c>
      <c r="L124" s="15">
        <f t="shared" si="4"/>
        <v>20</v>
      </c>
      <c r="M124" s="15">
        <f t="shared" si="5"/>
        <v>5</v>
      </c>
      <c r="N124" s="16">
        <f t="shared" si="6"/>
        <v>463.14</v>
      </c>
      <c r="O124" s="16">
        <f t="shared" si="7"/>
        <v>115.785</v>
      </c>
      <c r="P124" s="17" t="str">
        <f t="shared" si="8"/>
        <v>2025_2</v>
      </c>
      <c r="Q124" s="17" t="str">
        <f t="shared" si="9"/>
        <v>Não VIP</v>
      </c>
    </row>
    <row r="125" ht="15.75" customHeight="1">
      <c r="A125" s="9">
        <v>45797.0</v>
      </c>
      <c r="B125" s="10">
        <v>3537.0</v>
      </c>
      <c r="C125" s="11" t="s">
        <v>177</v>
      </c>
      <c r="D125" s="11" t="s">
        <v>31</v>
      </c>
      <c r="E125" s="11" t="s">
        <v>32</v>
      </c>
      <c r="F125" s="11" t="s">
        <v>33</v>
      </c>
      <c r="G125" s="12">
        <v>1.0</v>
      </c>
      <c r="H125" s="13">
        <v>1263.0</v>
      </c>
      <c r="I125" s="14">
        <f t="shared" si="1"/>
        <v>1263</v>
      </c>
      <c r="J125" s="15">
        <f t="shared" si="2"/>
        <v>2025</v>
      </c>
      <c r="K125" s="15">
        <f t="shared" si="3"/>
        <v>5</v>
      </c>
      <c r="L125" s="15">
        <f t="shared" si="4"/>
        <v>20</v>
      </c>
      <c r="M125" s="15">
        <f t="shared" si="5"/>
        <v>3</v>
      </c>
      <c r="N125" s="16">
        <f t="shared" si="6"/>
        <v>505.2</v>
      </c>
      <c r="O125" s="16">
        <f t="shared" si="7"/>
        <v>126.3</v>
      </c>
      <c r="P125" s="17" t="str">
        <f t="shared" si="8"/>
        <v>2025_5</v>
      </c>
      <c r="Q125" s="17" t="str">
        <f t="shared" si="9"/>
        <v>Não VIP</v>
      </c>
    </row>
    <row r="126" ht="15.75" customHeight="1">
      <c r="A126" s="9">
        <v>45797.0</v>
      </c>
      <c r="B126" s="10">
        <v>2587.0</v>
      </c>
      <c r="C126" s="11" t="s">
        <v>178</v>
      </c>
      <c r="D126" s="11" t="s">
        <v>65</v>
      </c>
      <c r="E126" s="11" t="s">
        <v>28</v>
      </c>
      <c r="F126" s="11" t="s">
        <v>76</v>
      </c>
      <c r="G126" s="12">
        <v>2.0</v>
      </c>
      <c r="H126" s="13">
        <v>2985.62</v>
      </c>
      <c r="I126" s="14">
        <f t="shared" si="1"/>
        <v>5971.24</v>
      </c>
      <c r="J126" s="15">
        <f t="shared" si="2"/>
        <v>2025</v>
      </c>
      <c r="K126" s="15">
        <f t="shared" si="3"/>
        <v>5</v>
      </c>
      <c r="L126" s="15">
        <f t="shared" si="4"/>
        <v>20</v>
      </c>
      <c r="M126" s="15">
        <f t="shared" si="5"/>
        <v>3</v>
      </c>
      <c r="N126" s="16">
        <f t="shared" si="6"/>
        <v>2388.496</v>
      </c>
      <c r="O126" s="16">
        <f t="shared" si="7"/>
        <v>597.124</v>
      </c>
      <c r="P126" s="17" t="str">
        <f t="shared" si="8"/>
        <v>2025_5</v>
      </c>
      <c r="Q126" s="17" t="str">
        <f t="shared" si="9"/>
        <v>Não VIP</v>
      </c>
    </row>
    <row r="127" ht="15.75" customHeight="1">
      <c r="A127" s="9">
        <v>45646.0</v>
      </c>
      <c r="B127" s="10">
        <v>5124.0</v>
      </c>
      <c r="C127" s="11" t="s">
        <v>179</v>
      </c>
      <c r="D127" s="11" t="s">
        <v>22</v>
      </c>
      <c r="E127" s="11" t="s">
        <v>38</v>
      </c>
      <c r="F127" s="11" t="s">
        <v>68</v>
      </c>
      <c r="G127" s="12">
        <v>10.0</v>
      </c>
      <c r="H127" s="13">
        <v>162.51</v>
      </c>
      <c r="I127" s="14">
        <f t="shared" si="1"/>
        <v>1625.1</v>
      </c>
      <c r="J127" s="15">
        <f t="shared" si="2"/>
        <v>2024</v>
      </c>
      <c r="K127" s="15">
        <f t="shared" si="3"/>
        <v>12</v>
      </c>
      <c r="L127" s="15">
        <f t="shared" si="4"/>
        <v>20</v>
      </c>
      <c r="M127" s="15">
        <f t="shared" si="5"/>
        <v>6</v>
      </c>
      <c r="N127" s="16">
        <f t="shared" si="6"/>
        <v>650.04</v>
      </c>
      <c r="O127" s="16">
        <f t="shared" si="7"/>
        <v>162.51</v>
      </c>
      <c r="P127" s="17" t="str">
        <f t="shared" si="8"/>
        <v>2024_12</v>
      </c>
      <c r="Q127" s="17" t="str">
        <f t="shared" si="9"/>
        <v>Não VIP</v>
      </c>
    </row>
    <row r="128" ht="15.75" customHeight="1">
      <c r="A128" s="9">
        <v>45709.0</v>
      </c>
      <c r="B128" s="10">
        <v>8128.0</v>
      </c>
      <c r="C128" s="11" t="s">
        <v>180</v>
      </c>
      <c r="D128" s="11" t="s">
        <v>65</v>
      </c>
      <c r="E128" s="11" t="s">
        <v>32</v>
      </c>
      <c r="F128" s="11" t="s">
        <v>100</v>
      </c>
      <c r="G128" s="12">
        <v>3.0</v>
      </c>
      <c r="H128" s="13">
        <v>51.35</v>
      </c>
      <c r="I128" s="14">
        <f t="shared" si="1"/>
        <v>154.05</v>
      </c>
      <c r="J128" s="15">
        <f t="shared" si="2"/>
        <v>2025</v>
      </c>
      <c r="K128" s="15">
        <f t="shared" si="3"/>
        <v>2</v>
      </c>
      <c r="L128" s="15">
        <f t="shared" si="4"/>
        <v>21</v>
      </c>
      <c r="M128" s="15">
        <f t="shared" si="5"/>
        <v>6</v>
      </c>
      <c r="N128" s="16">
        <f t="shared" si="6"/>
        <v>61.62</v>
      </c>
      <c r="O128" s="16">
        <f t="shared" si="7"/>
        <v>15.405</v>
      </c>
      <c r="P128" s="17" t="str">
        <f t="shared" si="8"/>
        <v>2025_2</v>
      </c>
      <c r="Q128" s="17" t="str">
        <f t="shared" si="9"/>
        <v>Não VIP</v>
      </c>
    </row>
    <row r="129" ht="15.75" customHeight="1">
      <c r="A129" s="9">
        <v>45709.0</v>
      </c>
      <c r="B129" s="10">
        <v>2961.0</v>
      </c>
      <c r="C129" s="11" t="s">
        <v>181</v>
      </c>
      <c r="D129" s="11" t="s">
        <v>27</v>
      </c>
      <c r="E129" s="11" t="s">
        <v>28</v>
      </c>
      <c r="F129" s="11" t="s">
        <v>50</v>
      </c>
      <c r="G129" s="12">
        <v>10.0</v>
      </c>
      <c r="H129" s="13">
        <v>1869.88</v>
      </c>
      <c r="I129" s="14">
        <f t="shared" si="1"/>
        <v>18698.8</v>
      </c>
      <c r="J129" s="15">
        <f t="shared" si="2"/>
        <v>2025</v>
      </c>
      <c r="K129" s="15">
        <f t="shared" si="3"/>
        <v>2</v>
      </c>
      <c r="L129" s="15">
        <f t="shared" si="4"/>
        <v>21</v>
      </c>
      <c r="M129" s="15">
        <f t="shared" si="5"/>
        <v>6</v>
      </c>
      <c r="N129" s="16">
        <f t="shared" si="6"/>
        <v>7479.52</v>
      </c>
      <c r="O129" s="16">
        <f t="shared" si="7"/>
        <v>1869.88</v>
      </c>
      <c r="P129" s="17" t="str">
        <f t="shared" si="8"/>
        <v>2025_2</v>
      </c>
      <c r="Q129" s="17" t="str">
        <f t="shared" si="9"/>
        <v>VIP</v>
      </c>
    </row>
    <row r="130" ht="15.75" customHeight="1">
      <c r="A130" s="9">
        <v>45709.0</v>
      </c>
      <c r="B130" s="10">
        <v>5293.0</v>
      </c>
      <c r="C130" s="11" t="s">
        <v>182</v>
      </c>
      <c r="D130" s="11" t="s">
        <v>65</v>
      </c>
      <c r="E130" s="11" t="s">
        <v>32</v>
      </c>
      <c r="F130" s="11" t="s">
        <v>56</v>
      </c>
      <c r="G130" s="12">
        <v>5.0</v>
      </c>
      <c r="H130" s="13">
        <v>182.58</v>
      </c>
      <c r="I130" s="14">
        <f t="shared" si="1"/>
        <v>912.9</v>
      </c>
      <c r="J130" s="15">
        <f t="shared" si="2"/>
        <v>2025</v>
      </c>
      <c r="K130" s="15">
        <f t="shared" si="3"/>
        <v>2</v>
      </c>
      <c r="L130" s="15">
        <f t="shared" si="4"/>
        <v>21</v>
      </c>
      <c r="M130" s="15">
        <f t="shared" si="5"/>
        <v>6</v>
      </c>
      <c r="N130" s="16">
        <f t="shared" si="6"/>
        <v>365.16</v>
      </c>
      <c r="O130" s="16">
        <f t="shared" si="7"/>
        <v>91.29</v>
      </c>
      <c r="P130" s="17" t="str">
        <f t="shared" si="8"/>
        <v>2025_2</v>
      </c>
      <c r="Q130" s="17" t="str">
        <f t="shared" si="9"/>
        <v>Não VIP</v>
      </c>
    </row>
    <row r="131" ht="15.75" customHeight="1">
      <c r="A131" s="9">
        <v>45709.0</v>
      </c>
      <c r="B131" s="10">
        <v>9562.0</v>
      </c>
      <c r="C131" s="11" t="s">
        <v>183</v>
      </c>
      <c r="D131" s="11" t="s">
        <v>37</v>
      </c>
      <c r="E131" s="11" t="s">
        <v>19</v>
      </c>
      <c r="F131" s="11" t="s">
        <v>44</v>
      </c>
      <c r="G131" s="12">
        <v>4.0</v>
      </c>
      <c r="H131" s="13">
        <v>981.58</v>
      </c>
      <c r="I131" s="14">
        <f t="shared" si="1"/>
        <v>3926.32</v>
      </c>
      <c r="J131" s="15">
        <f t="shared" si="2"/>
        <v>2025</v>
      </c>
      <c r="K131" s="15">
        <f t="shared" si="3"/>
        <v>2</v>
      </c>
      <c r="L131" s="15">
        <f t="shared" si="4"/>
        <v>21</v>
      </c>
      <c r="M131" s="15">
        <f t="shared" si="5"/>
        <v>6</v>
      </c>
      <c r="N131" s="16">
        <f t="shared" si="6"/>
        <v>1570.528</v>
      </c>
      <c r="O131" s="16">
        <f t="shared" si="7"/>
        <v>392.632</v>
      </c>
      <c r="P131" s="17" t="str">
        <f t="shared" si="8"/>
        <v>2025_2</v>
      </c>
      <c r="Q131" s="17" t="str">
        <f t="shared" si="9"/>
        <v>Não VIP</v>
      </c>
    </row>
    <row r="132" ht="15.75" customHeight="1">
      <c r="A132" s="9">
        <v>45737.0</v>
      </c>
      <c r="B132" s="10">
        <v>6397.0</v>
      </c>
      <c r="C132" s="11" t="s">
        <v>184</v>
      </c>
      <c r="D132" s="11" t="s">
        <v>22</v>
      </c>
      <c r="E132" s="11" t="s">
        <v>28</v>
      </c>
      <c r="F132" s="11" t="s">
        <v>48</v>
      </c>
      <c r="G132" s="12">
        <v>10.0</v>
      </c>
      <c r="H132" s="13">
        <v>2557.5</v>
      </c>
      <c r="I132" s="14">
        <f t="shared" si="1"/>
        <v>25575</v>
      </c>
      <c r="J132" s="15">
        <f t="shared" si="2"/>
        <v>2025</v>
      </c>
      <c r="K132" s="15">
        <f t="shared" si="3"/>
        <v>3</v>
      </c>
      <c r="L132" s="15">
        <f t="shared" si="4"/>
        <v>21</v>
      </c>
      <c r="M132" s="15">
        <f t="shared" si="5"/>
        <v>6</v>
      </c>
      <c r="N132" s="16">
        <f t="shared" si="6"/>
        <v>10230</v>
      </c>
      <c r="O132" s="16">
        <f t="shared" si="7"/>
        <v>2557.5</v>
      </c>
      <c r="P132" s="17" t="str">
        <f t="shared" si="8"/>
        <v>2025_3</v>
      </c>
      <c r="Q132" s="17" t="str">
        <f t="shared" si="9"/>
        <v>VIP</v>
      </c>
    </row>
    <row r="133" ht="15.75" customHeight="1">
      <c r="A133" s="9">
        <v>45647.0</v>
      </c>
      <c r="B133" s="10">
        <v>9585.0</v>
      </c>
      <c r="C133" s="11" t="s">
        <v>185</v>
      </c>
      <c r="D133" s="11" t="s">
        <v>43</v>
      </c>
      <c r="E133" s="11" t="s">
        <v>38</v>
      </c>
      <c r="F133" s="11" t="s">
        <v>66</v>
      </c>
      <c r="G133" s="12">
        <v>7.0</v>
      </c>
      <c r="H133" s="13">
        <v>923.47</v>
      </c>
      <c r="I133" s="14">
        <f t="shared" si="1"/>
        <v>6464.29</v>
      </c>
      <c r="J133" s="15">
        <f t="shared" si="2"/>
        <v>2024</v>
      </c>
      <c r="K133" s="15">
        <f t="shared" si="3"/>
        <v>12</v>
      </c>
      <c r="L133" s="15">
        <f t="shared" si="4"/>
        <v>21</v>
      </c>
      <c r="M133" s="15">
        <f t="shared" si="5"/>
        <v>7</v>
      </c>
      <c r="N133" s="16">
        <f t="shared" si="6"/>
        <v>2585.716</v>
      </c>
      <c r="O133" s="16">
        <f t="shared" si="7"/>
        <v>646.429</v>
      </c>
      <c r="P133" s="17" t="str">
        <f t="shared" si="8"/>
        <v>2024_12</v>
      </c>
      <c r="Q133" s="17" t="str">
        <f t="shared" si="9"/>
        <v>Não VIP</v>
      </c>
    </row>
    <row r="134" ht="15.75" customHeight="1">
      <c r="A134" s="9">
        <v>45647.0</v>
      </c>
      <c r="B134" s="10">
        <v>7030.0</v>
      </c>
      <c r="C134" s="11" t="s">
        <v>186</v>
      </c>
      <c r="D134" s="11" t="s">
        <v>22</v>
      </c>
      <c r="E134" s="11" t="s">
        <v>19</v>
      </c>
      <c r="F134" s="11" t="s">
        <v>58</v>
      </c>
      <c r="G134" s="12">
        <v>8.0</v>
      </c>
      <c r="H134" s="13">
        <v>1022.96</v>
      </c>
      <c r="I134" s="14">
        <f t="shared" si="1"/>
        <v>8183.68</v>
      </c>
      <c r="J134" s="15">
        <f t="shared" si="2"/>
        <v>2024</v>
      </c>
      <c r="K134" s="15">
        <f t="shared" si="3"/>
        <v>12</v>
      </c>
      <c r="L134" s="15">
        <f t="shared" si="4"/>
        <v>21</v>
      </c>
      <c r="M134" s="15">
        <f t="shared" si="5"/>
        <v>7</v>
      </c>
      <c r="N134" s="16">
        <f t="shared" si="6"/>
        <v>3273.472</v>
      </c>
      <c r="O134" s="16">
        <f t="shared" si="7"/>
        <v>818.368</v>
      </c>
      <c r="P134" s="17" t="str">
        <f t="shared" si="8"/>
        <v>2024_12</v>
      </c>
      <c r="Q134" s="17" t="str">
        <f t="shared" si="9"/>
        <v>Não VIP</v>
      </c>
    </row>
    <row r="135" ht="15.75" customHeight="1">
      <c r="A135" s="9">
        <v>45679.0</v>
      </c>
      <c r="B135" s="10">
        <v>1712.0</v>
      </c>
      <c r="C135" s="11" t="s">
        <v>187</v>
      </c>
      <c r="D135" s="11" t="s">
        <v>43</v>
      </c>
      <c r="E135" s="11" t="s">
        <v>38</v>
      </c>
      <c r="F135" s="11" t="s">
        <v>68</v>
      </c>
      <c r="G135" s="12">
        <v>7.0</v>
      </c>
      <c r="H135" s="13">
        <v>464.28</v>
      </c>
      <c r="I135" s="14">
        <f t="shared" si="1"/>
        <v>3249.96</v>
      </c>
      <c r="J135" s="15">
        <f t="shared" si="2"/>
        <v>2025</v>
      </c>
      <c r="K135" s="15">
        <f t="shared" si="3"/>
        <v>1</v>
      </c>
      <c r="L135" s="15">
        <f t="shared" si="4"/>
        <v>22</v>
      </c>
      <c r="M135" s="15">
        <f t="shared" si="5"/>
        <v>4</v>
      </c>
      <c r="N135" s="16">
        <f t="shared" si="6"/>
        <v>1299.984</v>
      </c>
      <c r="O135" s="16">
        <f t="shared" si="7"/>
        <v>324.996</v>
      </c>
      <c r="P135" s="17" t="str">
        <f t="shared" si="8"/>
        <v>2025_1</v>
      </c>
      <c r="Q135" s="17" t="str">
        <f t="shared" si="9"/>
        <v>Não VIP</v>
      </c>
    </row>
    <row r="136" ht="15.75" customHeight="1">
      <c r="A136" s="9">
        <v>45710.0</v>
      </c>
      <c r="B136" s="10">
        <v>6303.0</v>
      </c>
      <c r="C136" s="11" t="s">
        <v>188</v>
      </c>
      <c r="D136" s="11" t="s">
        <v>37</v>
      </c>
      <c r="E136" s="11" t="s">
        <v>38</v>
      </c>
      <c r="F136" s="11" t="s">
        <v>68</v>
      </c>
      <c r="G136" s="12">
        <v>4.0</v>
      </c>
      <c r="H136" s="13">
        <v>2422.84</v>
      </c>
      <c r="I136" s="14">
        <f t="shared" si="1"/>
        <v>9691.36</v>
      </c>
      <c r="J136" s="15">
        <f t="shared" si="2"/>
        <v>2025</v>
      </c>
      <c r="K136" s="15">
        <f t="shared" si="3"/>
        <v>2</v>
      </c>
      <c r="L136" s="15">
        <f t="shared" si="4"/>
        <v>22</v>
      </c>
      <c r="M136" s="15">
        <f t="shared" si="5"/>
        <v>7</v>
      </c>
      <c r="N136" s="16">
        <f t="shared" si="6"/>
        <v>3876.544</v>
      </c>
      <c r="O136" s="16">
        <f t="shared" si="7"/>
        <v>969.136</v>
      </c>
      <c r="P136" s="17" t="str">
        <f t="shared" si="8"/>
        <v>2025_2</v>
      </c>
      <c r="Q136" s="17" t="str">
        <f t="shared" si="9"/>
        <v>Não VIP</v>
      </c>
    </row>
    <row r="137" ht="15.75" customHeight="1">
      <c r="A137" s="9">
        <v>45710.0</v>
      </c>
      <c r="B137" s="10">
        <v>5130.0</v>
      </c>
      <c r="C137" s="11" t="s">
        <v>189</v>
      </c>
      <c r="D137" s="11" t="s">
        <v>43</v>
      </c>
      <c r="E137" s="11" t="s">
        <v>28</v>
      </c>
      <c r="F137" s="11" t="s">
        <v>48</v>
      </c>
      <c r="G137" s="12">
        <v>6.0</v>
      </c>
      <c r="H137" s="13">
        <v>1114.56</v>
      </c>
      <c r="I137" s="14">
        <f t="shared" si="1"/>
        <v>6687.36</v>
      </c>
      <c r="J137" s="15">
        <f t="shared" si="2"/>
        <v>2025</v>
      </c>
      <c r="K137" s="15">
        <f t="shared" si="3"/>
        <v>2</v>
      </c>
      <c r="L137" s="15">
        <f t="shared" si="4"/>
        <v>22</v>
      </c>
      <c r="M137" s="15">
        <f t="shared" si="5"/>
        <v>7</v>
      </c>
      <c r="N137" s="16">
        <f t="shared" si="6"/>
        <v>2674.944</v>
      </c>
      <c r="O137" s="16">
        <f t="shared" si="7"/>
        <v>668.736</v>
      </c>
      <c r="P137" s="17" t="str">
        <f t="shared" si="8"/>
        <v>2025_2</v>
      </c>
      <c r="Q137" s="17" t="str">
        <f t="shared" si="9"/>
        <v>Não VIP</v>
      </c>
    </row>
    <row r="138" ht="15.75" customHeight="1">
      <c r="A138" s="9">
        <v>45710.0</v>
      </c>
      <c r="B138" s="10">
        <v>7054.0</v>
      </c>
      <c r="C138" s="11" t="s">
        <v>190</v>
      </c>
      <c r="D138" s="11" t="s">
        <v>37</v>
      </c>
      <c r="E138" s="11" t="s">
        <v>23</v>
      </c>
      <c r="F138" s="11" t="s">
        <v>52</v>
      </c>
      <c r="G138" s="12">
        <v>7.0</v>
      </c>
      <c r="H138" s="13">
        <v>1826.29</v>
      </c>
      <c r="I138" s="14">
        <f t="shared" si="1"/>
        <v>12784.03</v>
      </c>
      <c r="J138" s="15">
        <f t="shared" si="2"/>
        <v>2025</v>
      </c>
      <c r="K138" s="15">
        <f t="shared" si="3"/>
        <v>2</v>
      </c>
      <c r="L138" s="15">
        <f t="shared" si="4"/>
        <v>22</v>
      </c>
      <c r="M138" s="15">
        <f t="shared" si="5"/>
        <v>7</v>
      </c>
      <c r="N138" s="16">
        <f t="shared" si="6"/>
        <v>5113.612</v>
      </c>
      <c r="O138" s="16">
        <f t="shared" si="7"/>
        <v>1278.403</v>
      </c>
      <c r="P138" s="17" t="str">
        <f t="shared" si="8"/>
        <v>2025_2</v>
      </c>
      <c r="Q138" s="17" t="str">
        <f t="shared" si="9"/>
        <v>VIP</v>
      </c>
    </row>
    <row r="139" ht="15.75" customHeight="1">
      <c r="A139" s="9">
        <v>45710.0</v>
      </c>
      <c r="B139" s="10">
        <v>4323.0</v>
      </c>
      <c r="C139" s="11" t="s">
        <v>191</v>
      </c>
      <c r="D139" s="11" t="s">
        <v>27</v>
      </c>
      <c r="E139" s="11" t="s">
        <v>28</v>
      </c>
      <c r="F139" s="11" t="s">
        <v>98</v>
      </c>
      <c r="G139" s="12">
        <v>6.0</v>
      </c>
      <c r="H139" s="13">
        <v>2889.42</v>
      </c>
      <c r="I139" s="14">
        <f t="shared" si="1"/>
        <v>17336.52</v>
      </c>
      <c r="J139" s="15">
        <f t="shared" si="2"/>
        <v>2025</v>
      </c>
      <c r="K139" s="15">
        <f t="shared" si="3"/>
        <v>2</v>
      </c>
      <c r="L139" s="15">
        <f t="shared" si="4"/>
        <v>22</v>
      </c>
      <c r="M139" s="15">
        <f t="shared" si="5"/>
        <v>7</v>
      </c>
      <c r="N139" s="16">
        <f t="shared" si="6"/>
        <v>6934.608</v>
      </c>
      <c r="O139" s="16">
        <f t="shared" si="7"/>
        <v>1733.652</v>
      </c>
      <c r="P139" s="17" t="str">
        <f t="shared" si="8"/>
        <v>2025_2</v>
      </c>
      <c r="Q139" s="17" t="str">
        <f t="shared" si="9"/>
        <v>VIP</v>
      </c>
    </row>
    <row r="140" ht="15.75" customHeight="1">
      <c r="A140" s="9">
        <v>45769.0</v>
      </c>
      <c r="B140" s="10">
        <v>9239.0</v>
      </c>
      <c r="C140" s="11" t="s">
        <v>192</v>
      </c>
      <c r="D140" s="11" t="s">
        <v>65</v>
      </c>
      <c r="E140" s="11" t="s">
        <v>19</v>
      </c>
      <c r="F140" s="11" t="s">
        <v>41</v>
      </c>
      <c r="G140" s="12">
        <v>5.0</v>
      </c>
      <c r="H140" s="13">
        <v>82.28</v>
      </c>
      <c r="I140" s="14">
        <f t="shared" si="1"/>
        <v>411.4</v>
      </c>
      <c r="J140" s="15">
        <f t="shared" si="2"/>
        <v>2025</v>
      </c>
      <c r="K140" s="15">
        <f t="shared" si="3"/>
        <v>4</v>
      </c>
      <c r="L140" s="15">
        <f t="shared" si="4"/>
        <v>22</v>
      </c>
      <c r="M140" s="15">
        <f t="shared" si="5"/>
        <v>3</v>
      </c>
      <c r="N140" s="16">
        <f t="shared" si="6"/>
        <v>164.56</v>
      </c>
      <c r="O140" s="16">
        <f t="shared" si="7"/>
        <v>41.14</v>
      </c>
      <c r="P140" s="17" t="str">
        <f t="shared" si="8"/>
        <v>2025_4</v>
      </c>
      <c r="Q140" s="17" t="str">
        <f t="shared" si="9"/>
        <v>Não VIP</v>
      </c>
    </row>
    <row r="141" ht="15.75" customHeight="1">
      <c r="A141" s="9">
        <v>45648.0</v>
      </c>
      <c r="B141" s="10">
        <v>6804.0</v>
      </c>
      <c r="C141" s="11" t="s">
        <v>193</v>
      </c>
      <c r="D141" s="11" t="s">
        <v>65</v>
      </c>
      <c r="E141" s="11" t="s">
        <v>28</v>
      </c>
      <c r="F141" s="11" t="s">
        <v>76</v>
      </c>
      <c r="G141" s="12">
        <v>1.0</v>
      </c>
      <c r="H141" s="13">
        <v>207.49</v>
      </c>
      <c r="I141" s="14">
        <f t="shared" si="1"/>
        <v>207.49</v>
      </c>
      <c r="J141" s="15">
        <f t="shared" si="2"/>
        <v>2024</v>
      </c>
      <c r="K141" s="15">
        <f t="shared" si="3"/>
        <v>12</v>
      </c>
      <c r="L141" s="15">
        <f t="shared" si="4"/>
        <v>22</v>
      </c>
      <c r="M141" s="15">
        <f t="shared" si="5"/>
        <v>1</v>
      </c>
      <c r="N141" s="16">
        <f t="shared" si="6"/>
        <v>82.996</v>
      </c>
      <c r="O141" s="16">
        <f t="shared" si="7"/>
        <v>20.749</v>
      </c>
      <c r="P141" s="17" t="str">
        <f t="shared" si="8"/>
        <v>2024_12</v>
      </c>
      <c r="Q141" s="17" t="str">
        <f t="shared" si="9"/>
        <v>Não VIP</v>
      </c>
    </row>
    <row r="142" ht="15.75" customHeight="1">
      <c r="A142" s="9">
        <v>45648.0</v>
      </c>
      <c r="B142" s="10">
        <v>7232.0</v>
      </c>
      <c r="C142" s="11" t="s">
        <v>194</v>
      </c>
      <c r="D142" s="11" t="s">
        <v>18</v>
      </c>
      <c r="E142" s="11" t="s">
        <v>38</v>
      </c>
      <c r="F142" s="11" t="s">
        <v>54</v>
      </c>
      <c r="G142" s="12">
        <v>1.0</v>
      </c>
      <c r="H142" s="13">
        <v>840.27</v>
      </c>
      <c r="I142" s="14">
        <f t="shared" si="1"/>
        <v>840.27</v>
      </c>
      <c r="J142" s="15">
        <f t="shared" si="2"/>
        <v>2024</v>
      </c>
      <c r="K142" s="15">
        <f t="shared" si="3"/>
        <v>12</v>
      </c>
      <c r="L142" s="15">
        <f t="shared" si="4"/>
        <v>22</v>
      </c>
      <c r="M142" s="15">
        <f t="shared" si="5"/>
        <v>1</v>
      </c>
      <c r="N142" s="16">
        <f t="shared" si="6"/>
        <v>336.108</v>
      </c>
      <c r="O142" s="16">
        <f t="shared" si="7"/>
        <v>84.027</v>
      </c>
      <c r="P142" s="17" t="str">
        <f t="shared" si="8"/>
        <v>2024_12</v>
      </c>
      <c r="Q142" s="17" t="str">
        <f t="shared" si="9"/>
        <v>Não VIP</v>
      </c>
    </row>
    <row r="143" ht="15.75" customHeight="1">
      <c r="A143" s="9">
        <v>45648.0</v>
      </c>
      <c r="B143" s="10">
        <v>1138.0</v>
      </c>
      <c r="C143" s="11" t="s">
        <v>195</v>
      </c>
      <c r="D143" s="11" t="s">
        <v>27</v>
      </c>
      <c r="E143" s="11" t="s">
        <v>28</v>
      </c>
      <c r="F143" s="11" t="s">
        <v>48</v>
      </c>
      <c r="G143" s="12">
        <v>10.0</v>
      </c>
      <c r="H143" s="13">
        <v>1101.76</v>
      </c>
      <c r="I143" s="14">
        <f t="shared" si="1"/>
        <v>11017.6</v>
      </c>
      <c r="J143" s="15">
        <f t="shared" si="2"/>
        <v>2024</v>
      </c>
      <c r="K143" s="15">
        <f t="shared" si="3"/>
        <v>12</v>
      </c>
      <c r="L143" s="15">
        <f t="shared" si="4"/>
        <v>22</v>
      </c>
      <c r="M143" s="15">
        <f t="shared" si="5"/>
        <v>1</v>
      </c>
      <c r="N143" s="16">
        <f t="shared" si="6"/>
        <v>4407.04</v>
      </c>
      <c r="O143" s="16">
        <f t="shared" si="7"/>
        <v>1101.76</v>
      </c>
      <c r="P143" s="17" t="str">
        <f t="shared" si="8"/>
        <v>2024_12</v>
      </c>
      <c r="Q143" s="17" t="str">
        <f t="shared" si="9"/>
        <v>VIP</v>
      </c>
    </row>
    <row r="144" ht="15.75" customHeight="1">
      <c r="A144" s="9">
        <v>45680.0</v>
      </c>
      <c r="B144" s="10">
        <v>1722.0</v>
      </c>
      <c r="C144" s="11" t="s">
        <v>196</v>
      </c>
      <c r="D144" s="11" t="s">
        <v>31</v>
      </c>
      <c r="E144" s="11" t="s">
        <v>19</v>
      </c>
      <c r="F144" s="11" t="s">
        <v>46</v>
      </c>
      <c r="G144" s="12">
        <v>8.0</v>
      </c>
      <c r="H144" s="13">
        <v>235.34</v>
      </c>
      <c r="I144" s="14">
        <f t="shared" si="1"/>
        <v>1882.72</v>
      </c>
      <c r="J144" s="15">
        <f t="shared" si="2"/>
        <v>2025</v>
      </c>
      <c r="K144" s="15">
        <f t="shared" si="3"/>
        <v>1</v>
      </c>
      <c r="L144" s="15">
        <f t="shared" si="4"/>
        <v>23</v>
      </c>
      <c r="M144" s="15">
        <f t="shared" si="5"/>
        <v>5</v>
      </c>
      <c r="N144" s="16">
        <f t="shared" si="6"/>
        <v>753.088</v>
      </c>
      <c r="O144" s="16">
        <f t="shared" si="7"/>
        <v>188.272</v>
      </c>
      <c r="P144" s="17" t="str">
        <f t="shared" si="8"/>
        <v>2025_1</v>
      </c>
      <c r="Q144" s="17" t="str">
        <f t="shared" si="9"/>
        <v>Não VIP</v>
      </c>
    </row>
    <row r="145" ht="15.75" customHeight="1">
      <c r="A145" s="9">
        <v>45680.0</v>
      </c>
      <c r="B145" s="10">
        <v>8924.0</v>
      </c>
      <c r="C145" s="11" t="s">
        <v>197</v>
      </c>
      <c r="D145" s="11" t="s">
        <v>37</v>
      </c>
      <c r="E145" s="11" t="s">
        <v>23</v>
      </c>
      <c r="F145" s="11" t="s">
        <v>52</v>
      </c>
      <c r="G145" s="12">
        <v>9.0</v>
      </c>
      <c r="H145" s="13">
        <v>1570.37</v>
      </c>
      <c r="I145" s="14">
        <f t="shared" si="1"/>
        <v>14133.33</v>
      </c>
      <c r="J145" s="15">
        <f t="shared" si="2"/>
        <v>2025</v>
      </c>
      <c r="K145" s="15">
        <f t="shared" si="3"/>
        <v>1</v>
      </c>
      <c r="L145" s="15">
        <f t="shared" si="4"/>
        <v>23</v>
      </c>
      <c r="M145" s="15">
        <f t="shared" si="5"/>
        <v>5</v>
      </c>
      <c r="N145" s="16">
        <f t="shared" si="6"/>
        <v>5653.332</v>
      </c>
      <c r="O145" s="16">
        <f t="shared" si="7"/>
        <v>1413.333</v>
      </c>
      <c r="P145" s="17" t="str">
        <f t="shared" si="8"/>
        <v>2025_1</v>
      </c>
      <c r="Q145" s="17" t="str">
        <f t="shared" si="9"/>
        <v>VIP</v>
      </c>
    </row>
    <row r="146" ht="15.75" customHeight="1">
      <c r="A146" s="9">
        <v>45680.0</v>
      </c>
      <c r="B146" s="10">
        <v>9109.0</v>
      </c>
      <c r="C146" s="11" t="s">
        <v>198</v>
      </c>
      <c r="D146" s="11" t="s">
        <v>65</v>
      </c>
      <c r="E146" s="11" t="s">
        <v>28</v>
      </c>
      <c r="F146" s="11" t="s">
        <v>98</v>
      </c>
      <c r="G146" s="12">
        <v>6.0</v>
      </c>
      <c r="H146" s="13">
        <v>1558.15</v>
      </c>
      <c r="I146" s="14">
        <f t="shared" si="1"/>
        <v>9348.9</v>
      </c>
      <c r="J146" s="15">
        <f t="shared" si="2"/>
        <v>2025</v>
      </c>
      <c r="K146" s="15">
        <f t="shared" si="3"/>
        <v>1</v>
      </c>
      <c r="L146" s="15">
        <f t="shared" si="4"/>
        <v>23</v>
      </c>
      <c r="M146" s="15">
        <f t="shared" si="5"/>
        <v>5</v>
      </c>
      <c r="N146" s="16">
        <f t="shared" si="6"/>
        <v>3739.56</v>
      </c>
      <c r="O146" s="16">
        <f t="shared" si="7"/>
        <v>934.89</v>
      </c>
      <c r="P146" s="17" t="str">
        <f t="shared" si="8"/>
        <v>2025_1</v>
      </c>
      <c r="Q146" s="17" t="str">
        <f t="shared" si="9"/>
        <v>Não VIP</v>
      </c>
    </row>
    <row r="147" ht="15.75" customHeight="1">
      <c r="A147" s="9">
        <v>45680.0</v>
      </c>
      <c r="B147" s="10">
        <v>3228.0</v>
      </c>
      <c r="C147" s="11" t="s">
        <v>199</v>
      </c>
      <c r="D147" s="11" t="s">
        <v>43</v>
      </c>
      <c r="E147" s="11" t="s">
        <v>28</v>
      </c>
      <c r="F147" s="11" t="s">
        <v>76</v>
      </c>
      <c r="G147" s="12">
        <v>8.0</v>
      </c>
      <c r="H147" s="13">
        <v>1407.58</v>
      </c>
      <c r="I147" s="14">
        <f t="shared" si="1"/>
        <v>11260.64</v>
      </c>
      <c r="J147" s="15">
        <f t="shared" si="2"/>
        <v>2025</v>
      </c>
      <c r="K147" s="15">
        <f t="shared" si="3"/>
        <v>1</v>
      </c>
      <c r="L147" s="15">
        <f t="shared" si="4"/>
        <v>23</v>
      </c>
      <c r="M147" s="15">
        <f t="shared" si="5"/>
        <v>5</v>
      </c>
      <c r="N147" s="16">
        <f t="shared" si="6"/>
        <v>4504.256</v>
      </c>
      <c r="O147" s="16">
        <f t="shared" si="7"/>
        <v>1126.064</v>
      </c>
      <c r="P147" s="17" t="str">
        <f t="shared" si="8"/>
        <v>2025_1</v>
      </c>
      <c r="Q147" s="17" t="str">
        <f t="shared" si="9"/>
        <v>VIP</v>
      </c>
    </row>
    <row r="148" ht="15.75" customHeight="1">
      <c r="A148" s="9">
        <v>45711.0</v>
      </c>
      <c r="B148" s="10">
        <v>1215.0</v>
      </c>
      <c r="C148" s="11" t="s">
        <v>200</v>
      </c>
      <c r="D148" s="11" t="s">
        <v>37</v>
      </c>
      <c r="E148" s="11" t="s">
        <v>32</v>
      </c>
      <c r="F148" s="11" t="s">
        <v>78</v>
      </c>
      <c r="G148" s="12">
        <v>8.0</v>
      </c>
      <c r="H148" s="13">
        <v>1905.04</v>
      </c>
      <c r="I148" s="14">
        <f t="shared" si="1"/>
        <v>15240.32</v>
      </c>
      <c r="J148" s="15">
        <f t="shared" si="2"/>
        <v>2025</v>
      </c>
      <c r="K148" s="15">
        <f t="shared" si="3"/>
        <v>2</v>
      </c>
      <c r="L148" s="15">
        <f t="shared" si="4"/>
        <v>23</v>
      </c>
      <c r="M148" s="15">
        <f t="shared" si="5"/>
        <v>1</v>
      </c>
      <c r="N148" s="16">
        <f t="shared" si="6"/>
        <v>6096.128</v>
      </c>
      <c r="O148" s="16">
        <f t="shared" si="7"/>
        <v>1524.032</v>
      </c>
      <c r="P148" s="17" t="str">
        <f t="shared" si="8"/>
        <v>2025_2</v>
      </c>
      <c r="Q148" s="17" t="str">
        <f t="shared" si="9"/>
        <v>VIP</v>
      </c>
    </row>
    <row r="149" ht="15.75" customHeight="1">
      <c r="A149" s="9">
        <v>45800.0</v>
      </c>
      <c r="B149" s="10">
        <v>6541.0</v>
      </c>
      <c r="C149" s="11" t="s">
        <v>201</v>
      </c>
      <c r="D149" s="11" t="s">
        <v>18</v>
      </c>
      <c r="E149" s="11" t="s">
        <v>32</v>
      </c>
      <c r="F149" s="11" t="s">
        <v>33</v>
      </c>
      <c r="G149" s="12">
        <v>2.0</v>
      </c>
      <c r="H149" s="13">
        <v>916.94</v>
      </c>
      <c r="I149" s="14">
        <f t="shared" si="1"/>
        <v>1833.88</v>
      </c>
      <c r="J149" s="15">
        <f t="shared" si="2"/>
        <v>2025</v>
      </c>
      <c r="K149" s="15">
        <f t="shared" si="3"/>
        <v>5</v>
      </c>
      <c r="L149" s="15">
        <f t="shared" si="4"/>
        <v>23</v>
      </c>
      <c r="M149" s="15">
        <f t="shared" si="5"/>
        <v>6</v>
      </c>
      <c r="N149" s="16">
        <f t="shared" si="6"/>
        <v>733.552</v>
      </c>
      <c r="O149" s="16">
        <f t="shared" si="7"/>
        <v>183.388</v>
      </c>
      <c r="P149" s="17" t="str">
        <f t="shared" si="8"/>
        <v>2025_5</v>
      </c>
      <c r="Q149" s="17" t="str">
        <f t="shared" si="9"/>
        <v>Não VIP</v>
      </c>
    </row>
    <row r="150" ht="15.75" customHeight="1">
      <c r="A150" s="9">
        <v>45649.0</v>
      </c>
      <c r="B150" s="10">
        <v>7453.0</v>
      </c>
      <c r="C150" s="11" t="s">
        <v>202</v>
      </c>
      <c r="D150" s="11" t="s">
        <v>31</v>
      </c>
      <c r="E150" s="11" t="s">
        <v>23</v>
      </c>
      <c r="F150" s="11" t="s">
        <v>80</v>
      </c>
      <c r="G150" s="12">
        <v>10.0</v>
      </c>
      <c r="H150" s="13">
        <v>1058.38</v>
      </c>
      <c r="I150" s="14">
        <f t="shared" si="1"/>
        <v>10583.8</v>
      </c>
      <c r="J150" s="15">
        <f t="shared" si="2"/>
        <v>2024</v>
      </c>
      <c r="K150" s="15">
        <f t="shared" si="3"/>
        <v>12</v>
      </c>
      <c r="L150" s="15">
        <f t="shared" si="4"/>
        <v>23</v>
      </c>
      <c r="M150" s="15">
        <f t="shared" si="5"/>
        <v>2</v>
      </c>
      <c r="N150" s="16">
        <f t="shared" si="6"/>
        <v>4233.52</v>
      </c>
      <c r="O150" s="16">
        <f t="shared" si="7"/>
        <v>1058.38</v>
      </c>
      <c r="P150" s="17" t="str">
        <f t="shared" si="8"/>
        <v>2024_12</v>
      </c>
      <c r="Q150" s="17" t="str">
        <f t="shared" si="9"/>
        <v>VIP</v>
      </c>
    </row>
    <row r="151" ht="15.75" customHeight="1">
      <c r="A151" s="9">
        <v>45681.0</v>
      </c>
      <c r="B151" s="10">
        <v>5571.0</v>
      </c>
      <c r="C151" s="11" t="s">
        <v>203</v>
      </c>
      <c r="D151" s="11" t="s">
        <v>22</v>
      </c>
      <c r="E151" s="11" t="s">
        <v>32</v>
      </c>
      <c r="F151" s="11" t="s">
        <v>56</v>
      </c>
      <c r="G151" s="12">
        <v>9.0</v>
      </c>
      <c r="H151" s="13">
        <v>607.82</v>
      </c>
      <c r="I151" s="14">
        <f t="shared" si="1"/>
        <v>5470.38</v>
      </c>
      <c r="J151" s="15">
        <f t="shared" si="2"/>
        <v>2025</v>
      </c>
      <c r="K151" s="15">
        <f t="shared" si="3"/>
        <v>1</v>
      </c>
      <c r="L151" s="15">
        <f t="shared" si="4"/>
        <v>24</v>
      </c>
      <c r="M151" s="15">
        <f t="shared" si="5"/>
        <v>6</v>
      </c>
      <c r="N151" s="16">
        <f t="shared" si="6"/>
        <v>2188.152</v>
      </c>
      <c r="O151" s="16">
        <f t="shared" si="7"/>
        <v>547.038</v>
      </c>
      <c r="P151" s="17" t="str">
        <f t="shared" si="8"/>
        <v>2025_1</v>
      </c>
      <c r="Q151" s="17" t="str">
        <f t="shared" si="9"/>
        <v>Não VIP</v>
      </c>
    </row>
    <row r="152" ht="15.75" customHeight="1">
      <c r="A152" s="9">
        <v>45712.0</v>
      </c>
      <c r="B152" s="10">
        <v>7331.0</v>
      </c>
      <c r="C152" s="11" t="s">
        <v>204</v>
      </c>
      <c r="D152" s="11" t="s">
        <v>22</v>
      </c>
      <c r="E152" s="11" t="s">
        <v>38</v>
      </c>
      <c r="F152" s="11" t="s">
        <v>54</v>
      </c>
      <c r="G152" s="12">
        <v>3.0</v>
      </c>
      <c r="H152" s="13">
        <v>1217.57</v>
      </c>
      <c r="I152" s="14">
        <f t="shared" si="1"/>
        <v>3652.71</v>
      </c>
      <c r="J152" s="15">
        <f t="shared" si="2"/>
        <v>2025</v>
      </c>
      <c r="K152" s="15">
        <f t="shared" si="3"/>
        <v>2</v>
      </c>
      <c r="L152" s="15">
        <f t="shared" si="4"/>
        <v>24</v>
      </c>
      <c r="M152" s="15">
        <f t="shared" si="5"/>
        <v>2</v>
      </c>
      <c r="N152" s="16">
        <f t="shared" si="6"/>
        <v>1461.084</v>
      </c>
      <c r="O152" s="16">
        <f t="shared" si="7"/>
        <v>365.271</v>
      </c>
      <c r="P152" s="17" t="str">
        <f t="shared" si="8"/>
        <v>2025_2</v>
      </c>
      <c r="Q152" s="17" t="str">
        <f t="shared" si="9"/>
        <v>Não VIP</v>
      </c>
    </row>
    <row r="153" ht="15.75" customHeight="1">
      <c r="A153" s="9">
        <v>45712.0</v>
      </c>
      <c r="B153" s="10">
        <v>6078.0</v>
      </c>
      <c r="C153" s="11" t="s">
        <v>205</v>
      </c>
      <c r="D153" s="11" t="s">
        <v>31</v>
      </c>
      <c r="E153" s="11" t="s">
        <v>28</v>
      </c>
      <c r="F153" s="11" t="s">
        <v>48</v>
      </c>
      <c r="G153" s="12">
        <v>8.0</v>
      </c>
      <c r="H153" s="13">
        <v>1491.66</v>
      </c>
      <c r="I153" s="14">
        <f t="shared" si="1"/>
        <v>11933.28</v>
      </c>
      <c r="J153" s="15">
        <f t="shared" si="2"/>
        <v>2025</v>
      </c>
      <c r="K153" s="15">
        <f t="shared" si="3"/>
        <v>2</v>
      </c>
      <c r="L153" s="15">
        <f t="shared" si="4"/>
        <v>24</v>
      </c>
      <c r="M153" s="15">
        <f t="shared" si="5"/>
        <v>2</v>
      </c>
      <c r="N153" s="16">
        <f t="shared" si="6"/>
        <v>4773.312</v>
      </c>
      <c r="O153" s="16">
        <f t="shared" si="7"/>
        <v>1193.328</v>
      </c>
      <c r="P153" s="17" t="str">
        <f t="shared" si="8"/>
        <v>2025_2</v>
      </c>
      <c r="Q153" s="17" t="str">
        <f t="shared" si="9"/>
        <v>VIP</v>
      </c>
    </row>
    <row r="154" ht="15.75" customHeight="1">
      <c r="A154" s="9">
        <v>45771.0</v>
      </c>
      <c r="B154" s="10">
        <v>5200.0</v>
      </c>
      <c r="C154" s="11" t="s">
        <v>206</v>
      </c>
      <c r="D154" s="11" t="s">
        <v>18</v>
      </c>
      <c r="E154" s="11" t="s">
        <v>23</v>
      </c>
      <c r="F154" s="11" t="s">
        <v>35</v>
      </c>
      <c r="G154" s="12">
        <v>2.0</v>
      </c>
      <c r="H154" s="13">
        <v>2146.1</v>
      </c>
      <c r="I154" s="14">
        <f t="shared" si="1"/>
        <v>4292.2</v>
      </c>
      <c r="J154" s="15">
        <f t="shared" si="2"/>
        <v>2025</v>
      </c>
      <c r="K154" s="15">
        <f t="shared" si="3"/>
        <v>4</v>
      </c>
      <c r="L154" s="15">
        <f t="shared" si="4"/>
        <v>24</v>
      </c>
      <c r="M154" s="15">
        <f t="shared" si="5"/>
        <v>5</v>
      </c>
      <c r="N154" s="16">
        <f t="shared" si="6"/>
        <v>1716.88</v>
      </c>
      <c r="O154" s="16">
        <f t="shared" si="7"/>
        <v>429.22</v>
      </c>
      <c r="P154" s="17" t="str">
        <f t="shared" si="8"/>
        <v>2025_4</v>
      </c>
      <c r="Q154" s="17" t="str">
        <f t="shared" si="9"/>
        <v>Não VIP</v>
      </c>
    </row>
    <row r="155" ht="15.75" customHeight="1">
      <c r="A155" s="9">
        <v>45771.0</v>
      </c>
      <c r="B155" s="10">
        <v>4340.0</v>
      </c>
      <c r="C155" s="11" t="s">
        <v>207</v>
      </c>
      <c r="D155" s="11" t="s">
        <v>43</v>
      </c>
      <c r="E155" s="11" t="s">
        <v>19</v>
      </c>
      <c r="F155" s="11" t="s">
        <v>46</v>
      </c>
      <c r="G155" s="12">
        <v>8.0</v>
      </c>
      <c r="H155" s="13">
        <v>2772.87</v>
      </c>
      <c r="I155" s="14">
        <f t="shared" si="1"/>
        <v>22182.96</v>
      </c>
      <c r="J155" s="15">
        <f t="shared" si="2"/>
        <v>2025</v>
      </c>
      <c r="K155" s="15">
        <f t="shared" si="3"/>
        <v>4</v>
      </c>
      <c r="L155" s="15">
        <f t="shared" si="4"/>
        <v>24</v>
      </c>
      <c r="M155" s="15">
        <f t="shared" si="5"/>
        <v>5</v>
      </c>
      <c r="N155" s="16">
        <f t="shared" si="6"/>
        <v>8873.184</v>
      </c>
      <c r="O155" s="16">
        <f t="shared" si="7"/>
        <v>2218.296</v>
      </c>
      <c r="P155" s="17" t="str">
        <f t="shared" si="8"/>
        <v>2025_4</v>
      </c>
      <c r="Q155" s="17" t="str">
        <f t="shared" si="9"/>
        <v>VIP</v>
      </c>
    </row>
    <row r="156" ht="15.75" customHeight="1">
      <c r="A156" s="9">
        <v>45801.0</v>
      </c>
      <c r="B156" s="10">
        <v>6352.0</v>
      </c>
      <c r="C156" s="11" t="s">
        <v>208</v>
      </c>
      <c r="D156" s="11" t="s">
        <v>27</v>
      </c>
      <c r="E156" s="11" t="s">
        <v>38</v>
      </c>
      <c r="F156" s="11" t="s">
        <v>54</v>
      </c>
      <c r="G156" s="12">
        <v>10.0</v>
      </c>
      <c r="H156" s="13">
        <v>2350.7</v>
      </c>
      <c r="I156" s="14">
        <f t="shared" si="1"/>
        <v>23507</v>
      </c>
      <c r="J156" s="15">
        <f t="shared" si="2"/>
        <v>2025</v>
      </c>
      <c r="K156" s="15">
        <f t="shared" si="3"/>
        <v>5</v>
      </c>
      <c r="L156" s="15">
        <f t="shared" si="4"/>
        <v>24</v>
      </c>
      <c r="M156" s="15">
        <f t="shared" si="5"/>
        <v>7</v>
      </c>
      <c r="N156" s="16">
        <f t="shared" si="6"/>
        <v>9402.8</v>
      </c>
      <c r="O156" s="16">
        <f t="shared" si="7"/>
        <v>2350.7</v>
      </c>
      <c r="P156" s="17" t="str">
        <f t="shared" si="8"/>
        <v>2025_5</v>
      </c>
      <c r="Q156" s="17" t="str">
        <f t="shared" si="9"/>
        <v>VIP</v>
      </c>
    </row>
    <row r="157" ht="15.75" customHeight="1">
      <c r="A157" s="9">
        <v>45650.0</v>
      </c>
      <c r="B157" s="10">
        <v>3384.0</v>
      </c>
      <c r="C157" s="11" t="s">
        <v>209</v>
      </c>
      <c r="D157" s="11" t="s">
        <v>22</v>
      </c>
      <c r="E157" s="11" t="s">
        <v>32</v>
      </c>
      <c r="F157" s="11" t="s">
        <v>56</v>
      </c>
      <c r="G157" s="12">
        <v>5.0</v>
      </c>
      <c r="H157" s="13">
        <v>1132.81</v>
      </c>
      <c r="I157" s="14">
        <f t="shared" si="1"/>
        <v>5664.05</v>
      </c>
      <c r="J157" s="15">
        <f t="shared" si="2"/>
        <v>2024</v>
      </c>
      <c r="K157" s="15">
        <f t="shared" si="3"/>
        <v>12</v>
      </c>
      <c r="L157" s="15">
        <f t="shared" si="4"/>
        <v>24</v>
      </c>
      <c r="M157" s="15">
        <f t="shared" si="5"/>
        <v>3</v>
      </c>
      <c r="N157" s="16">
        <f t="shared" si="6"/>
        <v>2265.62</v>
      </c>
      <c r="O157" s="16">
        <f t="shared" si="7"/>
        <v>566.405</v>
      </c>
      <c r="P157" s="17" t="str">
        <f t="shared" si="8"/>
        <v>2024_12</v>
      </c>
      <c r="Q157" s="17" t="str">
        <f t="shared" si="9"/>
        <v>Não VIP</v>
      </c>
    </row>
    <row r="158" ht="15.75" customHeight="1">
      <c r="A158" s="9">
        <v>45682.0</v>
      </c>
      <c r="B158" s="10">
        <v>5784.0</v>
      </c>
      <c r="C158" s="11" t="s">
        <v>210</v>
      </c>
      <c r="D158" s="11" t="s">
        <v>22</v>
      </c>
      <c r="E158" s="11" t="s">
        <v>32</v>
      </c>
      <c r="F158" s="11" t="s">
        <v>85</v>
      </c>
      <c r="G158" s="12">
        <v>8.0</v>
      </c>
      <c r="H158" s="13">
        <v>2378.06</v>
      </c>
      <c r="I158" s="14">
        <f t="shared" si="1"/>
        <v>19024.48</v>
      </c>
      <c r="J158" s="15">
        <f t="shared" si="2"/>
        <v>2025</v>
      </c>
      <c r="K158" s="15">
        <f t="shared" si="3"/>
        <v>1</v>
      </c>
      <c r="L158" s="15">
        <f t="shared" si="4"/>
        <v>25</v>
      </c>
      <c r="M158" s="15">
        <f t="shared" si="5"/>
        <v>7</v>
      </c>
      <c r="N158" s="16">
        <f t="shared" si="6"/>
        <v>7609.792</v>
      </c>
      <c r="O158" s="16">
        <f t="shared" si="7"/>
        <v>1902.448</v>
      </c>
      <c r="P158" s="17" t="str">
        <f t="shared" si="8"/>
        <v>2025_1</v>
      </c>
      <c r="Q158" s="17" t="str">
        <f t="shared" si="9"/>
        <v>VIP</v>
      </c>
    </row>
    <row r="159" ht="15.75" customHeight="1">
      <c r="A159" s="9">
        <v>45682.0</v>
      </c>
      <c r="B159" s="10">
        <v>8707.0</v>
      </c>
      <c r="C159" s="11" t="s">
        <v>211</v>
      </c>
      <c r="D159" s="11" t="s">
        <v>27</v>
      </c>
      <c r="E159" s="11" t="s">
        <v>32</v>
      </c>
      <c r="F159" s="11" t="s">
        <v>33</v>
      </c>
      <c r="G159" s="12">
        <v>10.0</v>
      </c>
      <c r="H159" s="13">
        <v>116.63</v>
      </c>
      <c r="I159" s="14">
        <f t="shared" si="1"/>
        <v>1166.3</v>
      </c>
      <c r="J159" s="15">
        <f t="shared" si="2"/>
        <v>2025</v>
      </c>
      <c r="K159" s="15">
        <f t="shared" si="3"/>
        <v>1</v>
      </c>
      <c r="L159" s="15">
        <f t="shared" si="4"/>
        <v>25</v>
      </c>
      <c r="M159" s="15">
        <f t="shared" si="5"/>
        <v>7</v>
      </c>
      <c r="N159" s="16">
        <f t="shared" si="6"/>
        <v>466.52</v>
      </c>
      <c r="O159" s="16">
        <f t="shared" si="7"/>
        <v>116.63</v>
      </c>
      <c r="P159" s="17" t="str">
        <f t="shared" si="8"/>
        <v>2025_1</v>
      </c>
      <c r="Q159" s="17" t="str">
        <f t="shared" si="9"/>
        <v>Não VIP</v>
      </c>
    </row>
    <row r="160" ht="15.75" customHeight="1">
      <c r="A160" s="9">
        <v>45741.0</v>
      </c>
      <c r="B160" s="10">
        <v>1619.0</v>
      </c>
      <c r="C160" s="11" t="s">
        <v>212</v>
      </c>
      <c r="D160" s="11" t="s">
        <v>18</v>
      </c>
      <c r="E160" s="11" t="s">
        <v>32</v>
      </c>
      <c r="F160" s="11" t="s">
        <v>33</v>
      </c>
      <c r="G160" s="12">
        <v>10.0</v>
      </c>
      <c r="H160" s="13">
        <v>1588.87</v>
      </c>
      <c r="I160" s="14">
        <f t="shared" si="1"/>
        <v>15888.7</v>
      </c>
      <c r="J160" s="15">
        <f t="shared" si="2"/>
        <v>2025</v>
      </c>
      <c r="K160" s="15">
        <f t="shared" si="3"/>
        <v>3</v>
      </c>
      <c r="L160" s="15">
        <f t="shared" si="4"/>
        <v>25</v>
      </c>
      <c r="M160" s="15">
        <f t="shared" si="5"/>
        <v>3</v>
      </c>
      <c r="N160" s="16">
        <f t="shared" si="6"/>
        <v>6355.48</v>
      </c>
      <c r="O160" s="16">
        <f t="shared" si="7"/>
        <v>1588.87</v>
      </c>
      <c r="P160" s="17" t="str">
        <f t="shared" si="8"/>
        <v>2025_3</v>
      </c>
      <c r="Q160" s="17" t="str">
        <f t="shared" si="9"/>
        <v>VIP</v>
      </c>
    </row>
    <row r="161" ht="15.75" customHeight="1">
      <c r="A161" s="9">
        <v>45772.0</v>
      </c>
      <c r="B161" s="10">
        <v>3831.0</v>
      </c>
      <c r="C161" s="11" t="s">
        <v>213</v>
      </c>
      <c r="D161" s="11" t="s">
        <v>18</v>
      </c>
      <c r="E161" s="11" t="s">
        <v>32</v>
      </c>
      <c r="F161" s="11" t="s">
        <v>56</v>
      </c>
      <c r="G161" s="12">
        <v>6.0</v>
      </c>
      <c r="H161" s="13">
        <v>2364.33</v>
      </c>
      <c r="I161" s="14">
        <f t="shared" si="1"/>
        <v>14185.98</v>
      </c>
      <c r="J161" s="15">
        <f t="shared" si="2"/>
        <v>2025</v>
      </c>
      <c r="K161" s="15">
        <f t="shared" si="3"/>
        <v>4</v>
      </c>
      <c r="L161" s="15">
        <f t="shared" si="4"/>
        <v>25</v>
      </c>
      <c r="M161" s="15">
        <f t="shared" si="5"/>
        <v>6</v>
      </c>
      <c r="N161" s="16">
        <f t="shared" si="6"/>
        <v>5674.392</v>
      </c>
      <c r="O161" s="16">
        <f t="shared" si="7"/>
        <v>1418.598</v>
      </c>
      <c r="P161" s="17" t="str">
        <f t="shared" si="8"/>
        <v>2025_4</v>
      </c>
      <c r="Q161" s="17" t="str">
        <f t="shared" si="9"/>
        <v>VIP</v>
      </c>
    </row>
    <row r="162" ht="15.75" customHeight="1">
      <c r="A162" s="9">
        <v>45651.0</v>
      </c>
      <c r="B162" s="10">
        <v>5593.0</v>
      </c>
      <c r="C162" s="11" t="s">
        <v>214</v>
      </c>
      <c r="D162" s="11" t="s">
        <v>31</v>
      </c>
      <c r="E162" s="11" t="s">
        <v>32</v>
      </c>
      <c r="F162" s="11" t="s">
        <v>78</v>
      </c>
      <c r="G162" s="12">
        <v>5.0</v>
      </c>
      <c r="H162" s="13">
        <v>234.04</v>
      </c>
      <c r="I162" s="14">
        <f t="shared" si="1"/>
        <v>1170.2</v>
      </c>
      <c r="J162" s="15">
        <f t="shared" si="2"/>
        <v>2024</v>
      </c>
      <c r="K162" s="15">
        <f t="shared" si="3"/>
        <v>12</v>
      </c>
      <c r="L162" s="15">
        <f t="shared" si="4"/>
        <v>25</v>
      </c>
      <c r="M162" s="15">
        <f t="shared" si="5"/>
        <v>4</v>
      </c>
      <c r="N162" s="16">
        <f t="shared" si="6"/>
        <v>468.08</v>
      </c>
      <c r="O162" s="16">
        <f t="shared" si="7"/>
        <v>117.02</v>
      </c>
      <c r="P162" s="17" t="str">
        <f t="shared" si="8"/>
        <v>2024_12</v>
      </c>
      <c r="Q162" s="17" t="str">
        <f t="shared" si="9"/>
        <v>Não VIP</v>
      </c>
    </row>
    <row r="163" ht="15.75" customHeight="1">
      <c r="A163" s="9">
        <v>45651.0</v>
      </c>
      <c r="B163" s="10">
        <v>7341.0</v>
      </c>
      <c r="C163" s="11" t="s">
        <v>215</v>
      </c>
      <c r="D163" s="11" t="s">
        <v>27</v>
      </c>
      <c r="E163" s="11" t="s">
        <v>23</v>
      </c>
      <c r="F163" s="11" t="s">
        <v>52</v>
      </c>
      <c r="G163" s="12">
        <v>9.0</v>
      </c>
      <c r="H163" s="13">
        <v>1385.18</v>
      </c>
      <c r="I163" s="14">
        <f t="shared" si="1"/>
        <v>12466.62</v>
      </c>
      <c r="J163" s="15">
        <f t="shared" si="2"/>
        <v>2024</v>
      </c>
      <c r="K163" s="15">
        <f t="shared" si="3"/>
        <v>12</v>
      </c>
      <c r="L163" s="15">
        <f t="shared" si="4"/>
        <v>25</v>
      </c>
      <c r="M163" s="15">
        <f t="shared" si="5"/>
        <v>4</v>
      </c>
      <c r="N163" s="16">
        <f t="shared" si="6"/>
        <v>4986.648</v>
      </c>
      <c r="O163" s="16">
        <f t="shared" si="7"/>
        <v>1246.662</v>
      </c>
      <c r="P163" s="17" t="str">
        <f t="shared" si="8"/>
        <v>2024_12</v>
      </c>
      <c r="Q163" s="17" t="str">
        <f t="shared" si="9"/>
        <v>VIP</v>
      </c>
    </row>
    <row r="164" ht="15.75" customHeight="1">
      <c r="A164" s="9">
        <v>45651.0</v>
      </c>
      <c r="B164" s="10">
        <v>9471.0</v>
      </c>
      <c r="C164" s="11" t="s">
        <v>216</v>
      </c>
      <c r="D164" s="11" t="s">
        <v>65</v>
      </c>
      <c r="E164" s="11" t="s">
        <v>19</v>
      </c>
      <c r="F164" s="11" t="s">
        <v>20</v>
      </c>
      <c r="G164" s="12">
        <v>10.0</v>
      </c>
      <c r="H164" s="13">
        <v>984.74</v>
      </c>
      <c r="I164" s="14">
        <f t="shared" si="1"/>
        <v>9847.4</v>
      </c>
      <c r="J164" s="15">
        <f t="shared" si="2"/>
        <v>2024</v>
      </c>
      <c r="K164" s="15">
        <f t="shared" si="3"/>
        <v>12</v>
      </c>
      <c r="L164" s="15">
        <f t="shared" si="4"/>
        <v>25</v>
      </c>
      <c r="M164" s="15">
        <f t="shared" si="5"/>
        <v>4</v>
      </c>
      <c r="N164" s="16">
        <f t="shared" si="6"/>
        <v>3938.96</v>
      </c>
      <c r="O164" s="16">
        <f t="shared" si="7"/>
        <v>984.74</v>
      </c>
      <c r="P164" s="17" t="str">
        <f t="shared" si="8"/>
        <v>2024_12</v>
      </c>
      <c r="Q164" s="17" t="str">
        <f t="shared" si="9"/>
        <v>Não VIP</v>
      </c>
    </row>
    <row r="165" ht="15.75" customHeight="1">
      <c r="A165" s="9">
        <v>45683.0</v>
      </c>
      <c r="B165" s="10">
        <v>2132.0</v>
      </c>
      <c r="C165" s="11" t="s">
        <v>217</v>
      </c>
      <c r="D165" s="11" t="s">
        <v>18</v>
      </c>
      <c r="E165" s="11" t="s">
        <v>23</v>
      </c>
      <c r="F165" s="11" t="s">
        <v>125</v>
      </c>
      <c r="G165" s="12">
        <v>6.0</v>
      </c>
      <c r="H165" s="13">
        <v>2597.6</v>
      </c>
      <c r="I165" s="14">
        <f t="shared" si="1"/>
        <v>15585.6</v>
      </c>
      <c r="J165" s="15">
        <f t="shared" si="2"/>
        <v>2025</v>
      </c>
      <c r="K165" s="15">
        <f t="shared" si="3"/>
        <v>1</v>
      </c>
      <c r="L165" s="15">
        <f t="shared" si="4"/>
        <v>26</v>
      </c>
      <c r="M165" s="15">
        <f t="shared" si="5"/>
        <v>1</v>
      </c>
      <c r="N165" s="16">
        <f t="shared" si="6"/>
        <v>6234.24</v>
      </c>
      <c r="O165" s="16">
        <f t="shared" si="7"/>
        <v>1558.56</v>
      </c>
      <c r="P165" s="17" t="str">
        <f t="shared" si="8"/>
        <v>2025_1</v>
      </c>
      <c r="Q165" s="17" t="str">
        <f t="shared" si="9"/>
        <v>VIP</v>
      </c>
    </row>
    <row r="166" ht="15.75" customHeight="1">
      <c r="A166" s="9">
        <v>45714.0</v>
      </c>
      <c r="B166" s="10">
        <v>1273.0</v>
      </c>
      <c r="C166" s="11" t="s">
        <v>218</v>
      </c>
      <c r="D166" s="11" t="s">
        <v>22</v>
      </c>
      <c r="E166" s="11" t="s">
        <v>32</v>
      </c>
      <c r="F166" s="11" t="s">
        <v>78</v>
      </c>
      <c r="G166" s="12">
        <v>7.0</v>
      </c>
      <c r="H166" s="13">
        <v>384.15</v>
      </c>
      <c r="I166" s="14">
        <f t="shared" si="1"/>
        <v>2689.05</v>
      </c>
      <c r="J166" s="15">
        <f t="shared" si="2"/>
        <v>2025</v>
      </c>
      <c r="K166" s="15">
        <f t="shared" si="3"/>
        <v>2</v>
      </c>
      <c r="L166" s="15">
        <f t="shared" si="4"/>
        <v>26</v>
      </c>
      <c r="M166" s="15">
        <f t="shared" si="5"/>
        <v>4</v>
      </c>
      <c r="N166" s="16">
        <f t="shared" si="6"/>
        <v>1075.62</v>
      </c>
      <c r="O166" s="16">
        <f t="shared" si="7"/>
        <v>268.905</v>
      </c>
      <c r="P166" s="17" t="str">
        <f t="shared" si="8"/>
        <v>2025_2</v>
      </c>
      <c r="Q166" s="17" t="str">
        <f t="shared" si="9"/>
        <v>Não VIP</v>
      </c>
    </row>
    <row r="167" ht="15.75" customHeight="1">
      <c r="A167" s="9">
        <v>45773.0</v>
      </c>
      <c r="B167" s="10">
        <v>1307.0</v>
      </c>
      <c r="C167" s="11" t="s">
        <v>219</v>
      </c>
      <c r="D167" s="11" t="s">
        <v>31</v>
      </c>
      <c r="E167" s="11" t="s">
        <v>28</v>
      </c>
      <c r="F167" s="11" t="s">
        <v>29</v>
      </c>
      <c r="G167" s="12">
        <v>2.0</v>
      </c>
      <c r="H167" s="13">
        <v>2625.24</v>
      </c>
      <c r="I167" s="14">
        <f t="shared" si="1"/>
        <v>5250.48</v>
      </c>
      <c r="J167" s="15">
        <f t="shared" si="2"/>
        <v>2025</v>
      </c>
      <c r="K167" s="15">
        <f t="shared" si="3"/>
        <v>4</v>
      </c>
      <c r="L167" s="15">
        <f t="shared" si="4"/>
        <v>26</v>
      </c>
      <c r="M167" s="15">
        <f t="shared" si="5"/>
        <v>7</v>
      </c>
      <c r="N167" s="16">
        <f t="shared" si="6"/>
        <v>2100.192</v>
      </c>
      <c r="O167" s="16">
        <f t="shared" si="7"/>
        <v>525.048</v>
      </c>
      <c r="P167" s="17" t="str">
        <f t="shared" si="8"/>
        <v>2025_4</v>
      </c>
      <c r="Q167" s="17" t="str">
        <f t="shared" si="9"/>
        <v>Não VIP</v>
      </c>
    </row>
    <row r="168" ht="15.75" customHeight="1">
      <c r="A168" s="9">
        <v>45803.0</v>
      </c>
      <c r="B168" s="10">
        <v>3189.0</v>
      </c>
      <c r="C168" s="11" t="s">
        <v>220</v>
      </c>
      <c r="D168" s="11" t="s">
        <v>37</v>
      </c>
      <c r="E168" s="11" t="s">
        <v>19</v>
      </c>
      <c r="F168" s="11" t="s">
        <v>44</v>
      </c>
      <c r="G168" s="12">
        <v>1.0</v>
      </c>
      <c r="H168" s="13">
        <v>2524.68</v>
      </c>
      <c r="I168" s="14">
        <f t="shared" si="1"/>
        <v>2524.68</v>
      </c>
      <c r="J168" s="15">
        <f t="shared" si="2"/>
        <v>2025</v>
      </c>
      <c r="K168" s="15">
        <f t="shared" si="3"/>
        <v>5</v>
      </c>
      <c r="L168" s="15">
        <f t="shared" si="4"/>
        <v>26</v>
      </c>
      <c r="M168" s="15">
        <f t="shared" si="5"/>
        <v>2</v>
      </c>
      <c r="N168" s="16">
        <f t="shared" si="6"/>
        <v>1009.872</v>
      </c>
      <c r="O168" s="16">
        <f t="shared" si="7"/>
        <v>252.468</v>
      </c>
      <c r="P168" s="17" t="str">
        <f t="shared" si="8"/>
        <v>2025_5</v>
      </c>
      <c r="Q168" s="17" t="str">
        <f t="shared" si="9"/>
        <v>Não VIP</v>
      </c>
    </row>
    <row r="169" ht="15.75" customHeight="1">
      <c r="A169" s="9">
        <v>45652.0</v>
      </c>
      <c r="B169" s="10">
        <v>2183.0</v>
      </c>
      <c r="C169" s="11" t="s">
        <v>221</v>
      </c>
      <c r="D169" s="11" t="s">
        <v>43</v>
      </c>
      <c r="E169" s="11" t="s">
        <v>19</v>
      </c>
      <c r="F169" s="11" t="s">
        <v>44</v>
      </c>
      <c r="G169" s="12">
        <v>4.0</v>
      </c>
      <c r="H169" s="13">
        <v>2082.2</v>
      </c>
      <c r="I169" s="14">
        <f t="shared" si="1"/>
        <v>8328.8</v>
      </c>
      <c r="J169" s="15">
        <f t="shared" si="2"/>
        <v>2024</v>
      </c>
      <c r="K169" s="15">
        <f t="shared" si="3"/>
        <v>12</v>
      </c>
      <c r="L169" s="15">
        <f t="shared" si="4"/>
        <v>26</v>
      </c>
      <c r="M169" s="15">
        <f t="shared" si="5"/>
        <v>5</v>
      </c>
      <c r="N169" s="16">
        <f t="shared" si="6"/>
        <v>3331.52</v>
      </c>
      <c r="O169" s="16">
        <f t="shared" si="7"/>
        <v>832.88</v>
      </c>
      <c r="P169" s="17" t="str">
        <f t="shared" si="8"/>
        <v>2024_12</v>
      </c>
      <c r="Q169" s="17" t="str">
        <f t="shared" si="9"/>
        <v>Não VIP</v>
      </c>
    </row>
    <row r="170" ht="15.75" customHeight="1">
      <c r="A170" s="9">
        <v>45684.0</v>
      </c>
      <c r="B170" s="10">
        <v>3301.0</v>
      </c>
      <c r="C170" s="11" t="s">
        <v>222</v>
      </c>
      <c r="D170" s="11" t="s">
        <v>65</v>
      </c>
      <c r="E170" s="11" t="s">
        <v>32</v>
      </c>
      <c r="F170" s="11" t="s">
        <v>56</v>
      </c>
      <c r="G170" s="12">
        <v>7.0</v>
      </c>
      <c r="H170" s="13">
        <v>104.92</v>
      </c>
      <c r="I170" s="14">
        <f t="shared" si="1"/>
        <v>734.44</v>
      </c>
      <c r="J170" s="15">
        <f t="shared" si="2"/>
        <v>2025</v>
      </c>
      <c r="K170" s="15">
        <f t="shared" si="3"/>
        <v>1</v>
      </c>
      <c r="L170" s="15">
        <f t="shared" si="4"/>
        <v>27</v>
      </c>
      <c r="M170" s="15">
        <f t="shared" si="5"/>
        <v>2</v>
      </c>
      <c r="N170" s="16">
        <f t="shared" si="6"/>
        <v>293.776</v>
      </c>
      <c r="O170" s="16">
        <f t="shared" si="7"/>
        <v>73.444</v>
      </c>
      <c r="P170" s="17" t="str">
        <f t="shared" si="8"/>
        <v>2025_1</v>
      </c>
      <c r="Q170" s="17" t="str">
        <f t="shared" si="9"/>
        <v>Não VIP</v>
      </c>
    </row>
    <row r="171" ht="15.75" customHeight="1">
      <c r="A171" s="9">
        <v>45684.0</v>
      </c>
      <c r="B171" s="10">
        <v>8380.0</v>
      </c>
      <c r="C171" s="11" t="s">
        <v>223</v>
      </c>
      <c r="D171" s="11" t="s">
        <v>31</v>
      </c>
      <c r="E171" s="11" t="s">
        <v>23</v>
      </c>
      <c r="F171" s="11" t="s">
        <v>35</v>
      </c>
      <c r="G171" s="12">
        <v>5.0</v>
      </c>
      <c r="H171" s="13">
        <v>721.18</v>
      </c>
      <c r="I171" s="14">
        <f t="shared" si="1"/>
        <v>3605.9</v>
      </c>
      <c r="J171" s="15">
        <f t="shared" si="2"/>
        <v>2025</v>
      </c>
      <c r="K171" s="15">
        <f t="shared" si="3"/>
        <v>1</v>
      </c>
      <c r="L171" s="15">
        <f t="shared" si="4"/>
        <v>27</v>
      </c>
      <c r="M171" s="15">
        <f t="shared" si="5"/>
        <v>2</v>
      </c>
      <c r="N171" s="16">
        <f t="shared" si="6"/>
        <v>1442.36</v>
      </c>
      <c r="O171" s="16">
        <f t="shared" si="7"/>
        <v>360.59</v>
      </c>
      <c r="P171" s="17" t="str">
        <f t="shared" si="8"/>
        <v>2025_1</v>
      </c>
      <c r="Q171" s="17" t="str">
        <f t="shared" si="9"/>
        <v>Não VIP</v>
      </c>
    </row>
    <row r="172" ht="15.75" customHeight="1">
      <c r="A172" s="9">
        <v>45684.0</v>
      </c>
      <c r="B172" s="10">
        <v>8894.0</v>
      </c>
      <c r="C172" s="11" t="s">
        <v>224</v>
      </c>
      <c r="D172" s="11" t="s">
        <v>31</v>
      </c>
      <c r="E172" s="11" t="s">
        <v>32</v>
      </c>
      <c r="F172" s="11" t="s">
        <v>85</v>
      </c>
      <c r="G172" s="12">
        <v>9.0</v>
      </c>
      <c r="H172" s="13">
        <v>341.75</v>
      </c>
      <c r="I172" s="14">
        <f t="shared" si="1"/>
        <v>3075.75</v>
      </c>
      <c r="J172" s="15">
        <f t="shared" si="2"/>
        <v>2025</v>
      </c>
      <c r="K172" s="15">
        <f t="shared" si="3"/>
        <v>1</v>
      </c>
      <c r="L172" s="15">
        <f t="shared" si="4"/>
        <v>27</v>
      </c>
      <c r="M172" s="15">
        <f t="shared" si="5"/>
        <v>2</v>
      </c>
      <c r="N172" s="16">
        <f t="shared" si="6"/>
        <v>1230.3</v>
      </c>
      <c r="O172" s="16">
        <f t="shared" si="7"/>
        <v>307.575</v>
      </c>
      <c r="P172" s="17" t="str">
        <f t="shared" si="8"/>
        <v>2025_1</v>
      </c>
      <c r="Q172" s="17" t="str">
        <f t="shared" si="9"/>
        <v>Não VIP</v>
      </c>
    </row>
    <row r="173" ht="15.75" customHeight="1">
      <c r="A173" s="9">
        <v>45774.0</v>
      </c>
      <c r="B173" s="10">
        <v>5032.0</v>
      </c>
      <c r="C173" s="11" t="s">
        <v>225</v>
      </c>
      <c r="D173" s="11" t="s">
        <v>18</v>
      </c>
      <c r="E173" s="11" t="s">
        <v>28</v>
      </c>
      <c r="F173" s="11" t="s">
        <v>29</v>
      </c>
      <c r="G173" s="12">
        <v>4.0</v>
      </c>
      <c r="H173" s="13">
        <v>56.89</v>
      </c>
      <c r="I173" s="14">
        <f t="shared" si="1"/>
        <v>227.56</v>
      </c>
      <c r="J173" s="15">
        <f t="shared" si="2"/>
        <v>2025</v>
      </c>
      <c r="K173" s="15">
        <f t="shared" si="3"/>
        <v>4</v>
      </c>
      <c r="L173" s="15">
        <f t="shared" si="4"/>
        <v>27</v>
      </c>
      <c r="M173" s="15">
        <f t="shared" si="5"/>
        <v>1</v>
      </c>
      <c r="N173" s="16">
        <f t="shared" si="6"/>
        <v>91.024</v>
      </c>
      <c r="O173" s="16">
        <f t="shared" si="7"/>
        <v>22.756</v>
      </c>
      <c r="P173" s="17" t="str">
        <f t="shared" si="8"/>
        <v>2025_4</v>
      </c>
      <c r="Q173" s="17" t="str">
        <f t="shared" si="9"/>
        <v>Não VIP</v>
      </c>
    </row>
    <row r="174" ht="15.75" customHeight="1">
      <c r="A174" s="9">
        <v>45804.0</v>
      </c>
      <c r="B174" s="10">
        <v>8035.0</v>
      </c>
      <c r="C174" s="11" t="s">
        <v>226</v>
      </c>
      <c r="D174" s="11" t="s">
        <v>18</v>
      </c>
      <c r="E174" s="11" t="s">
        <v>38</v>
      </c>
      <c r="F174" s="11" t="s">
        <v>54</v>
      </c>
      <c r="G174" s="12">
        <v>2.0</v>
      </c>
      <c r="H174" s="13">
        <v>40.59</v>
      </c>
      <c r="I174" s="14">
        <f t="shared" si="1"/>
        <v>81.18</v>
      </c>
      <c r="J174" s="15">
        <f t="shared" si="2"/>
        <v>2025</v>
      </c>
      <c r="K174" s="15">
        <f t="shared" si="3"/>
        <v>5</v>
      </c>
      <c r="L174" s="15">
        <f t="shared" si="4"/>
        <v>27</v>
      </c>
      <c r="M174" s="15">
        <f t="shared" si="5"/>
        <v>3</v>
      </c>
      <c r="N174" s="16">
        <f t="shared" si="6"/>
        <v>32.472</v>
      </c>
      <c r="O174" s="16">
        <f t="shared" si="7"/>
        <v>8.118</v>
      </c>
      <c r="P174" s="17" t="str">
        <f t="shared" si="8"/>
        <v>2025_5</v>
      </c>
      <c r="Q174" s="17" t="str">
        <f t="shared" si="9"/>
        <v>Não VIP</v>
      </c>
    </row>
    <row r="175" ht="15.75" customHeight="1">
      <c r="A175" s="9">
        <v>45804.0</v>
      </c>
      <c r="B175" s="10">
        <v>2903.0</v>
      </c>
      <c r="C175" s="11" t="s">
        <v>227</v>
      </c>
      <c r="D175" s="11" t="s">
        <v>27</v>
      </c>
      <c r="E175" s="11" t="s">
        <v>28</v>
      </c>
      <c r="F175" s="11" t="s">
        <v>48</v>
      </c>
      <c r="G175" s="12">
        <v>9.0</v>
      </c>
      <c r="H175" s="13">
        <v>1955.2</v>
      </c>
      <c r="I175" s="14">
        <f t="shared" si="1"/>
        <v>17596.8</v>
      </c>
      <c r="J175" s="15">
        <f t="shared" si="2"/>
        <v>2025</v>
      </c>
      <c r="K175" s="15">
        <f t="shared" si="3"/>
        <v>5</v>
      </c>
      <c r="L175" s="15">
        <f t="shared" si="4"/>
        <v>27</v>
      </c>
      <c r="M175" s="15">
        <f t="shared" si="5"/>
        <v>3</v>
      </c>
      <c r="N175" s="16">
        <f t="shared" si="6"/>
        <v>7038.72</v>
      </c>
      <c r="O175" s="16">
        <f t="shared" si="7"/>
        <v>1759.68</v>
      </c>
      <c r="P175" s="17" t="str">
        <f t="shared" si="8"/>
        <v>2025_5</v>
      </c>
      <c r="Q175" s="17" t="str">
        <f t="shared" si="9"/>
        <v>VIP</v>
      </c>
    </row>
    <row r="176" ht="15.75" customHeight="1">
      <c r="A176" s="9">
        <v>45804.0</v>
      </c>
      <c r="B176" s="10">
        <v>4776.0</v>
      </c>
      <c r="C176" s="11" t="s">
        <v>228</v>
      </c>
      <c r="D176" s="11" t="s">
        <v>43</v>
      </c>
      <c r="E176" s="11" t="s">
        <v>28</v>
      </c>
      <c r="F176" s="11" t="s">
        <v>29</v>
      </c>
      <c r="G176" s="12">
        <v>10.0</v>
      </c>
      <c r="H176" s="13">
        <v>1081.36</v>
      </c>
      <c r="I176" s="14">
        <f t="shared" si="1"/>
        <v>10813.6</v>
      </c>
      <c r="J176" s="15">
        <f t="shared" si="2"/>
        <v>2025</v>
      </c>
      <c r="K176" s="15">
        <f t="shared" si="3"/>
        <v>5</v>
      </c>
      <c r="L176" s="15">
        <f t="shared" si="4"/>
        <v>27</v>
      </c>
      <c r="M176" s="15">
        <f t="shared" si="5"/>
        <v>3</v>
      </c>
      <c r="N176" s="16">
        <f t="shared" si="6"/>
        <v>4325.44</v>
      </c>
      <c r="O176" s="16">
        <f t="shared" si="7"/>
        <v>1081.36</v>
      </c>
      <c r="P176" s="17" t="str">
        <f t="shared" si="8"/>
        <v>2025_5</v>
      </c>
      <c r="Q176" s="17" t="str">
        <f t="shared" si="9"/>
        <v>VIP</v>
      </c>
    </row>
    <row r="177" ht="15.75" customHeight="1">
      <c r="A177" s="9">
        <v>45653.0</v>
      </c>
      <c r="B177" s="10">
        <v>8085.0</v>
      </c>
      <c r="C177" s="11" t="s">
        <v>229</v>
      </c>
      <c r="D177" s="11" t="s">
        <v>43</v>
      </c>
      <c r="E177" s="11" t="s">
        <v>23</v>
      </c>
      <c r="F177" s="11" t="s">
        <v>125</v>
      </c>
      <c r="G177" s="12">
        <v>6.0</v>
      </c>
      <c r="H177" s="13">
        <v>997.47</v>
      </c>
      <c r="I177" s="14">
        <f t="shared" si="1"/>
        <v>5984.82</v>
      </c>
      <c r="J177" s="15">
        <f t="shared" si="2"/>
        <v>2024</v>
      </c>
      <c r="K177" s="15">
        <f t="shared" si="3"/>
        <v>12</v>
      </c>
      <c r="L177" s="15">
        <f t="shared" si="4"/>
        <v>27</v>
      </c>
      <c r="M177" s="15">
        <f t="shared" si="5"/>
        <v>6</v>
      </c>
      <c r="N177" s="16">
        <f t="shared" si="6"/>
        <v>2393.928</v>
      </c>
      <c r="O177" s="16">
        <f t="shared" si="7"/>
        <v>598.482</v>
      </c>
      <c r="P177" s="17" t="str">
        <f t="shared" si="8"/>
        <v>2024_12</v>
      </c>
      <c r="Q177" s="17" t="str">
        <f t="shared" si="9"/>
        <v>Não VIP</v>
      </c>
    </row>
    <row r="178" ht="15.75" customHeight="1">
      <c r="A178" s="9">
        <v>45653.0</v>
      </c>
      <c r="B178" s="10">
        <v>2340.0</v>
      </c>
      <c r="C178" s="11" t="s">
        <v>230</v>
      </c>
      <c r="D178" s="11" t="s">
        <v>22</v>
      </c>
      <c r="E178" s="11" t="s">
        <v>32</v>
      </c>
      <c r="F178" s="11" t="s">
        <v>78</v>
      </c>
      <c r="G178" s="12">
        <v>9.0</v>
      </c>
      <c r="H178" s="13">
        <v>1770.78</v>
      </c>
      <c r="I178" s="14">
        <f t="shared" si="1"/>
        <v>15937.02</v>
      </c>
      <c r="J178" s="15">
        <f t="shared" si="2"/>
        <v>2024</v>
      </c>
      <c r="K178" s="15">
        <f t="shared" si="3"/>
        <v>12</v>
      </c>
      <c r="L178" s="15">
        <f t="shared" si="4"/>
        <v>27</v>
      </c>
      <c r="M178" s="15">
        <f t="shared" si="5"/>
        <v>6</v>
      </c>
      <c r="N178" s="16">
        <f t="shared" si="6"/>
        <v>6374.808</v>
      </c>
      <c r="O178" s="16">
        <f t="shared" si="7"/>
        <v>1593.702</v>
      </c>
      <c r="P178" s="17" t="str">
        <f t="shared" si="8"/>
        <v>2024_12</v>
      </c>
      <c r="Q178" s="17" t="str">
        <f t="shared" si="9"/>
        <v>VIP</v>
      </c>
    </row>
    <row r="179" ht="15.75" customHeight="1">
      <c r="A179" s="9">
        <v>45653.0</v>
      </c>
      <c r="B179" s="10">
        <v>6901.0</v>
      </c>
      <c r="C179" s="11" t="s">
        <v>231</v>
      </c>
      <c r="D179" s="11" t="s">
        <v>43</v>
      </c>
      <c r="E179" s="11" t="s">
        <v>38</v>
      </c>
      <c r="F179" s="11" t="s">
        <v>68</v>
      </c>
      <c r="G179" s="12">
        <v>9.0</v>
      </c>
      <c r="H179" s="13">
        <v>1839.57</v>
      </c>
      <c r="I179" s="14">
        <f t="shared" si="1"/>
        <v>16556.13</v>
      </c>
      <c r="J179" s="15">
        <f t="shared" si="2"/>
        <v>2024</v>
      </c>
      <c r="K179" s="15">
        <f t="shared" si="3"/>
        <v>12</v>
      </c>
      <c r="L179" s="15">
        <f t="shared" si="4"/>
        <v>27</v>
      </c>
      <c r="M179" s="15">
        <f t="shared" si="5"/>
        <v>6</v>
      </c>
      <c r="N179" s="16">
        <f t="shared" si="6"/>
        <v>6622.452</v>
      </c>
      <c r="O179" s="16">
        <f t="shared" si="7"/>
        <v>1655.613</v>
      </c>
      <c r="P179" s="17" t="str">
        <f t="shared" si="8"/>
        <v>2024_12</v>
      </c>
      <c r="Q179" s="17" t="str">
        <f t="shared" si="9"/>
        <v>VIP</v>
      </c>
    </row>
    <row r="180" ht="15.75" customHeight="1">
      <c r="A180" s="9">
        <v>45685.0</v>
      </c>
      <c r="B180" s="10">
        <v>2229.0</v>
      </c>
      <c r="C180" s="11" t="s">
        <v>232</v>
      </c>
      <c r="D180" s="11" t="s">
        <v>43</v>
      </c>
      <c r="E180" s="11" t="s">
        <v>23</v>
      </c>
      <c r="F180" s="11" t="s">
        <v>52</v>
      </c>
      <c r="G180" s="12">
        <v>6.0</v>
      </c>
      <c r="H180" s="13">
        <v>2273.92</v>
      </c>
      <c r="I180" s="14">
        <f t="shared" si="1"/>
        <v>13643.52</v>
      </c>
      <c r="J180" s="15">
        <f t="shared" si="2"/>
        <v>2025</v>
      </c>
      <c r="K180" s="15">
        <f t="shared" si="3"/>
        <v>1</v>
      </c>
      <c r="L180" s="15">
        <f t="shared" si="4"/>
        <v>28</v>
      </c>
      <c r="M180" s="15">
        <f t="shared" si="5"/>
        <v>3</v>
      </c>
      <c r="N180" s="16">
        <f t="shared" si="6"/>
        <v>5457.408</v>
      </c>
      <c r="O180" s="16">
        <f t="shared" si="7"/>
        <v>1364.352</v>
      </c>
      <c r="P180" s="17" t="str">
        <f t="shared" si="8"/>
        <v>2025_1</v>
      </c>
      <c r="Q180" s="17" t="str">
        <f t="shared" si="9"/>
        <v>VIP</v>
      </c>
    </row>
    <row r="181" ht="15.75" customHeight="1">
      <c r="A181" s="9">
        <v>45716.0</v>
      </c>
      <c r="B181" s="10">
        <v>2628.0</v>
      </c>
      <c r="C181" s="11" t="s">
        <v>233</v>
      </c>
      <c r="D181" s="11" t="s">
        <v>18</v>
      </c>
      <c r="E181" s="11" t="s">
        <v>28</v>
      </c>
      <c r="F181" s="11" t="s">
        <v>48</v>
      </c>
      <c r="G181" s="12">
        <v>7.0</v>
      </c>
      <c r="H181" s="13">
        <v>1970.61</v>
      </c>
      <c r="I181" s="14">
        <f t="shared" si="1"/>
        <v>13794.27</v>
      </c>
      <c r="J181" s="15">
        <f t="shared" si="2"/>
        <v>2025</v>
      </c>
      <c r="K181" s="15">
        <f t="shared" si="3"/>
        <v>2</v>
      </c>
      <c r="L181" s="15">
        <f t="shared" si="4"/>
        <v>28</v>
      </c>
      <c r="M181" s="15">
        <f t="shared" si="5"/>
        <v>6</v>
      </c>
      <c r="N181" s="16">
        <f t="shared" si="6"/>
        <v>5517.708</v>
      </c>
      <c r="O181" s="16">
        <f t="shared" si="7"/>
        <v>1379.427</v>
      </c>
      <c r="P181" s="17" t="str">
        <f t="shared" si="8"/>
        <v>2025_2</v>
      </c>
      <c r="Q181" s="17" t="str">
        <f t="shared" si="9"/>
        <v>VIP</v>
      </c>
    </row>
    <row r="182" ht="15.75" customHeight="1">
      <c r="A182" s="9">
        <v>45716.0</v>
      </c>
      <c r="B182" s="10">
        <v>7951.0</v>
      </c>
      <c r="C182" s="11" t="s">
        <v>234</v>
      </c>
      <c r="D182" s="11" t="s">
        <v>43</v>
      </c>
      <c r="E182" s="11" t="s">
        <v>23</v>
      </c>
      <c r="F182" s="11" t="s">
        <v>52</v>
      </c>
      <c r="G182" s="12">
        <v>9.0</v>
      </c>
      <c r="H182" s="13">
        <v>2722.7</v>
      </c>
      <c r="I182" s="14">
        <f t="shared" si="1"/>
        <v>24504.3</v>
      </c>
      <c r="J182" s="15">
        <f t="shared" si="2"/>
        <v>2025</v>
      </c>
      <c r="K182" s="15">
        <f t="shared" si="3"/>
        <v>2</v>
      </c>
      <c r="L182" s="15">
        <f t="shared" si="4"/>
        <v>28</v>
      </c>
      <c r="M182" s="15">
        <f t="shared" si="5"/>
        <v>6</v>
      </c>
      <c r="N182" s="16">
        <f t="shared" si="6"/>
        <v>9801.72</v>
      </c>
      <c r="O182" s="16">
        <f t="shared" si="7"/>
        <v>2450.43</v>
      </c>
      <c r="P182" s="17" t="str">
        <f t="shared" si="8"/>
        <v>2025_2</v>
      </c>
      <c r="Q182" s="17" t="str">
        <f t="shared" si="9"/>
        <v>VIP</v>
      </c>
    </row>
    <row r="183" ht="15.75" customHeight="1">
      <c r="A183" s="9">
        <v>45744.0</v>
      </c>
      <c r="B183" s="10">
        <v>6186.0</v>
      </c>
      <c r="C183" s="11" t="s">
        <v>235</v>
      </c>
      <c r="D183" s="11" t="s">
        <v>65</v>
      </c>
      <c r="E183" s="11" t="s">
        <v>38</v>
      </c>
      <c r="F183" s="11" t="s">
        <v>39</v>
      </c>
      <c r="G183" s="12">
        <v>10.0</v>
      </c>
      <c r="H183" s="13">
        <v>1452.23</v>
      </c>
      <c r="I183" s="14">
        <f t="shared" si="1"/>
        <v>14522.3</v>
      </c>
      <c r="J183" s="15">
        <f t="shared" si="2"/>
        <v>2025</v>
      </c>
      <c r="K183" s="15">
        <f t="shared" si="3"/>
        <v>3</v>
      </c>
      <c r="L183" s="15">
        <f t="shared" si="4"/>
        <v>28</v>
      </c>
      <c r="M183" s="15">
        <f t="shared" si="5"/>
        <v>6</v>
      </c>
      <c r="N183" s="16">
        <f t="shared" si="6"/>
        <v>5808.92</v>
      </c>
      <c r="O183" s="16">
        <f t="shared" si="7"/>
        <v>1452.23</v>
      </c>
      <c r="P183" s="17" t="str">
        <f t="shared" si="8"/>
        <v>2025_3</v>
      </c>
      <c r="Q183" s="17" t="str">
        <f t="shared" si="9"/>
        <v>VIP</v>
      </c>
    </row>
    <row r="184" ht="15.75" customHeight="1">
      <c r="A184" s="9">
        <v>45744.0</v>
      </c>
      <c r="B184" s="10">
        <v>4023.0</v>
      </c>
      <c r="C184" s="11" t="s">
        <v>236</v>
      </c>
      <c r="D184" s="11" t="s">
        <v>31</v>
      </c>
      <c r="E184" s="11" t="s">
        <v>28</v>
      </c>
      <c r="F184" s="11" t="s">
        <v>29</v>
      </c>
      <c r="G184" s="12">
        <v>6.0</v>
      </c>
      <c r="H184" s="13">
        <v>1224.69</v>
      </c>
      <c r="I184" s="14">
        <f t="shared" si="1"/>
        <v>7348.14</v>
      </c>
      <c r="J184" s="15">
        <f t="shared" si="2"/>
        <v>2025</v>
      </c>
      <c r="K184" s="15">
        <f t="shared" si="3"/>
        <v>3</v>
      </c>
      <c r="L184" s="15">
        <f t="shared" si="4"/>
        <v>28</v>
      </c>
      <c r="M184" s="15">
        <f t="shared" si="5"/>
        <v>6</v>
      </c>
      <c r="N184" s="16">
        <f t="shared" si="6"/>
        <v>2939.256</v>
      </c>
      <c r="O184" s="16">
        <f t="shared" si="7"/>
        <v>734.814</v>
      </c>
      <c r="P184" s="17" t="str">
        <f t="shared" si="8"/>
        <v>2025_3</v>
      </c>
      <c r="Q184" s="17" t="str">
        <f t="shared" si="9"/>
        <v>Não VIP</v>
      </c>
    </row>
    <row r="185" ht="15.75" customHeight="1">
      <c r="A185" s="9">
        <v>45775.0</v>
      </c>
      <c r="B185" s="10">
        <v>8478.0</v>
      </c>
      <c r="C185" s="11" t="s">
        <v>237</v>
      </c>
      <c r="D185" s="11" t="s">
        <v>37</v>
      </c>
      <c r="E185" s="11" t="s">
        <v>32</v>
      </c>
      <c r="F185" s="11" t="s">
        <v>100</v>
      </c>
      <c r="G185" s="12">
        <v>6.0</v>
      </c>
      <c r="H185" s="13">
        <v>2724.4</v>
      </c>
      <c r="I185" s="14">
        <f t="shared" si="1"/>
        <v>16346.4</v>
      </c>
      <c r="J185" s="15">
        <f t="shared" si="2"/>
        <v>2025</v>
      </c>
      <c r="K185" s="15">
        <f t="shared" si="3"/>
        <v>4</v>
      </c>
      <c r="L185" s="15">
        <f t="shared" si="4"/>
        <v>28</v>
      </c>
      <c r="M185" s="15">
        <f t="shared" si="5"/>
        <v>2</v>
      </c>
      <c r="N185" s="16">
        <f t="shared" si="6"/>
        <v>6538.56</v>
      </c>
      <c r="O185" s="16">
        <f t="shared" si="7"/>
        <v>1634.64</v>
      </c>
      <c r="P185" s="17" t="str">
        <f t="shared" si="8"/>
        <v>2025_4</v>
      </c>
      <c r="Q185" s="17" t="str">
        <f t="shared" si="9"/>
        <v>VIP</v>
      </c>
    </row>
    <row r="186" ht="15.75" customHeight="1">
      <c r="A186" s="9">
        <v>45805.0</v>
      </c>
      <c r="B186" s="10">
        <v>2378.0</v>
      </c>
      <c r="C186" s="11" t="s">
        <v>238</v>
      </c>
      <c r="D186" s="11" t="s">
        <v>27</v>
      </c>
      <c r="E186" s="11" t="s">
        <v>38</v>
      </c>
      <c r="F186" s="11" t="s">
        <v>39</v>
      </c>
      <c r="G186" s="12">
        <v>6.0</v>
      </c>
      <c r="H186" s="13">
        <v>126.5</v>
      </c>
      <c r="I186" s="14">
        <f t="shared" si="1"/>
        <v>759</v>
      </c>
      <c r="J186" s="15">
        <f t="shared" si="2"/>
        <v>2025</v>
      </c>
      <c r="K186" s="15">
        <f t="shared" si="3"/>
        <v>5</v>
      </c>
      <c r="L186" s="15">
        <f t="shared" si="4"/>
        <v>28</v>
      </c>
      <c r="M186" s="15">
        <f t="shared" si="5"/>
        <v>4</v>
      </c>
      <c r="N186" s="16">
        <f t="shared" si="6"/>
        <v>303.6</v>
      </c>
      <c r="O186" s="16">
        <f t="shared" si="7"/>
        <v>75.9</v>
      </c>
      <c r="P186" s="17" t="str">
        <f t="shared" si="8"/>
        <v>2025_5</v>
      </c>
      <c r="Q186" s="17" t="str">
        <f t="shared" si="9"/>
        <v>Não VIP</v>
      </c>
    </row>
    <row r="187" ht="15.75" customHeight="1">
      <c r="A187" s="9">
        <v>45654.0</v>
      </c>
      <c r="B187" s="10">
        <v>3476.0</v>
      </c>
      <c r="C187" s="11" t="s">
        <v>239</v>
      </c>
      <c r="D187" s="11" t="s">
        <v>27</v>
      </c>
      <c r="E187" s="11" t="s">
        <v>32</v>
      </c>
      <c r="F187" s="11" t="s">
        <v>100</v>
      </c>
      <c r="G187" s="12">
        <v>1.0</v>
      </c>
      <c r="H187" s="13">
        <v>2895.27</v>
      </c>
      <c r="I187" s="14">
        <f t="shared" si="1"/>
        <v>2895.27</v>
      </c>
      <c r="J187" s="15">
        <f t="shared" si="2"/>
        <v>2024</v>
      </c>
      <c r="K187" s="15">
        <f t="shared" si="3"/>
        <v>12</v>
      </c>
      <c r="L187" s="15">
        <f t="shared" si="4"/>
        <v>28</v>
      </c>
      <c r="M187" s="15">
        <f t="shared" si="5"/>
        <v>7</v>
      </c>
      <c r="N187" s="16">
        <f t="shared" si="6"/>
        <v>1158.108</v>
      </c>
      <c r="O187" s="16">
        <f t="shared" si="7"/>
        <v>289.527</v>
      </c>
      <c r="P187" s="17" t="str">
        <f t="shared" si="8"/>
        <v>2024_12</v>
      </c>
      <c r="Q187" s="17" t="str">
        <f t="shared" si="9"/>
        <v>Não VIP</v>
      </c>
    </row>
    <row r="188" ht="15.75" customHeight="1">
      <c r="A188" s="9">
        <v>45745.0</v>
      </c>
      <c r="B188" s="10">
        <v>3470.0</v>
      </c>
      <c r="C188" s="11" t="s">
        <v>240</v>
      </c>
      <c r="D188" s="11" t="s">
        <v>65</v>
      </c>
      <c r="E188" s="11" t="s">
        <v>28</v>
      </c>
      <c r="F188" s="11" t="s">
        <v>29</v>
      </c>
      <c r="G188" s="12">
        <v>5.0</v>
      </c>
      <c r="H188" s="13">
        <v>637.17</v>
      </c>
      <c r="I188" s="14">
        <f t="shared" si="1"/>
        <v>3185.85</v>
      </c>
      <c r="J188" s="15">
        <f t="shared" si="2"/>
        <v>2025</v>
      </c>
      <c r="K188" s="15">
        <f t="shared" si="3"/>
        <v>3</v>
      </c>
      <c r="L188" s="15">
        <f t="shared" si="4"/>
        <v>29</v>
      </c>
      <c r="M188" s="15">
        <f t="shared" si="5"/>
        <v>7</v>
      </c>
      <c r="N188" s="16">
        <f t="shared" si="6"/>
        <v>1274.34</v>
      </c>
      <c r="O188" s="16">
        <f t="shared" si="7"/>
        <v>318.585</v>
      </c>
      <c r="P188" s="17" t="str">
        <f t="shared" si="8"/>
        <v>2025_3</v>
      </c>
      <c r="Q188" s="17" t="str">
        <f t="shared" si="9"/>
        <v>Não VIP</v>
      </c>
    </row>
    <row r="189" ht="15.75" customHeight="1">
      <c r="A189" s="9">
        <v>45806.0</v>
      </c>
      <c r="B189" s="10">
        <v>2031.0</v>
      </c>
      <c r="C189" s="11" t="s">
        <v>241</v>
      </c>
      <c r="D189" s="11" t="s">
        <v>43</v>
      </c>
      <c r="E189" s="11" t="s">
        <v>19</v>
      </c>
      <c r="F189" s="11" t="s">
        <v>58</v>
      </c>
      <c r="G189" s="12">
        <v>9.0</v>
      </c>
      <c r="H189" s="13">
        <v>2458.54</v>
      </c>
      <c r="I189" s="14">
        <f t="shared" si="1"/>
        <v>22126.86</v>
      </c>
      <c r="J189" s="15">
        <f t="shared" si="2"/>
        <v>2025</v>
      </c>
      <c r="K189" s="15">
        <f t="shared" si="3"/>
        <v>5</v>
      </c>
      <c r="L189" s="15">
        <f t="shared" si="4"/>
        <v>29</v>
      </c>
      <c r="M189" s="15">
        <f t="shared" si="5"/>
        <v>5</v>
      </c>
      <c r="N189" s="16">
        <f t="shared" si="6"/>
        <v>8850.744</v>
      </c>
      <c r="O189" s="16">
        <f t="shared" si="7"/>
        <v>2212.686</v>
      </c>
      <c r="P189" s="17" t="str">
        <f t="shared" si="8"/>
        <v>2025_5</v>
      </c>
      <c r="Q189" s="17" t="str">
        <f t="shared" si="9"/>
        <v>VIP</v>
      </c>
    </row>
    <row r="190" ht="15.75" customHeight="1">
      <c r="A190" s="9">
        <v>45806.0</v>
      </c>
      <c r="B190" s="10">
        <v>1956.0</v>
      </c>
      <c r="C190" s="11" t="s">
        <v>242</v>
      </c>
      <c r="D190" s="11" t="s">
        <v>65</v>
      </c>
      <c r="E190" s="11" t="s">
        <v>28</v>
      </c>
      <c r="F190" s="11" t="s">
        <v>29</v>
      </c>
      <c r="G190" s="12">
        <v>9.0</v>
      </c>
      <c r="H190" s="13">
        <v>2371.99</v>
      </c>
      <c r="I190" s="14">
        <f t="shared" si="1"/>
        <v>21347.91</v>
      </c>
      <c r="J190" s="15">
        <f t="shared" si="2"/>
        <v>2025</v>
      </c>
      <c r="K190" s="15">
        <f t="shared" si="3"/>
        <v>5</v>
      </c>
      <c r="L190" s="15">
        <f t="shared" si="4"/>
        <v>29</v>
      </c>
      <c r="M190" s="15">
        <f t="shared" si="5"/>
        <v>5</v>
      </c>
      <c r="N190" s="16">
        <f t="shared" si="6"/>
        <v>8539.164</v>
      </c>
      <c r="O190" s="16">
        <f t="shared" si="7"/>
        <v>2134.791</v>
      </c>
      <c r="P190" s="17" t="str">
        <f t="shared" si="8"/>
        <v>2025_5</v>
      </c>
      <c r="Q190" s="17" t="str">
        <f t="shared" si="9"/>
        <v>VIP</v>
      </c>
    </row>
    <row r="191" ht="15.75" customHeight="1">
      <c r="A191" s="9">
        <v>45806.0</v>
      </c>
      <c r="B191" s="10">
        <v>3703.0</v>
      </c>
      <c r="C191" s="11" t="s">
        <v>243</v>
      </c>
      <c r="D191" s="11" t="s">
        <v>22</v>
      </c>
      <c r="E191" s="11" t="s">
        <v>38</v>
      </c>
      <c r="F191" s="11" t="s">
        <v>66</v>
      </c>
      <c r="G191" s="12">
        <v>7.0</v>
      </c>
      <c r="H191" s="13">
        <v>384.78</v>
      </c>
      <c r="I191" s="14">
        <f t="shared" si="1"/>
        <v>2693.46</v>
      </c>
      <c r="J191" s="15">
        <f t="shared" si="2"/>
        <v>2025</v>
      </c>
      <c r="K191" s="15">
        <f t="shared" si="3"/>
        <v>5</v>
      </c>
      <c r="L191" s="15">
        <f t="shared" si="4"/>
        <v>29</v>
      </c>
      <c r="M191" s="15">
        <f t="shared" si="5"/>
        <v>5</v>
      </c>
      <c r="N191" s="16">
        <f t="shared" si="6"/>
        <v>1077.384</v>
      </c>
      <c r="O191" s="16">
        <f t="shared" si="7"/>
        <v>269.346</v>
      </c>
      <c r="P191" s="17" t="str">
        <f t="shared" si="8"/>
        <v>2025_5</v>
      </c>
      <c r="Q191" s="17" t="str">
        <f t="shared" si="9"/>
        <v>Não VIP</v>
      </c>
    </row>
    <row r="192" ht="15.75" customHeight="1">
      <c r="A192" s="9">
        <v>45655.0</v>
      </c>
      <c r="B192" s="10">
        <v>6117.0</v>
      </c>
      <c r="C192" s="11" t="s">
        <v>244</v>
      </c>
      <c r="D192" s="11" t="s">
        <v>43</v>
      </c>
      <c r="E192" s="11" t="s">
        <v>28</v>
      </c>
      <c r="F192" s="11" t="s">
        <v>76</v>
      </c>
      <c r="G192" s="12">
        <v>6.0</v>
      </c>
      <c r="H192" s="13">
        <v>896.99</v>
      </c>
      <c r="I192" s="14">
        <f t="shared" si="1"/>
        <v>5381.94</v>
      </c>
      <c r="J192" s="15">
        <f t="shared" si="2"/>
        <v>2024</v>
      </c>
      <c r="K192" s="15">
        <f t="shared" si="3"/>
        <v>12</v>
      </c>
      <c r="L192" s="15">
        <f t="shared" si="4"/>
        <v>29</v>
      </c>
      <c r="M192" s="15">
        <f t="shared" si="5"/>
        <v>1</v>
      </c>
      <c r="N192" s="16">
        <f t="shared" si="6"/>
        <v>2152.776</v>
      </c>
      <c r="O192" s="16">
        <f t="shared" si="7"/>
        <v>538.194</v>
      </c>
      <c r="P192" s="17" t="str">
        <f t="shared" si="8"/>
        <v>2024_12</v>
      </c>
      <c r="Q192" s="17" t="str">
        <f t="shared" si="9"/>
        <v>Não VIP</v>
      </c>
    </row>
    <row r="193" ht="15.75" customHeight="1">
      <c r="A193" s="9">
        <v>45746.0</v>
      </c>
      <c r="B193" s="10">
        <v>4288.0</v>
      </c>
      <c r="C193" s="11" t="s">
        <v>245</v>
      </c>
      <c r="D193" s="11" t="s">
        <v>22</v>
      </c>
      <c r="E193" s="11" t="s">
        <v>19</v>
      </c>
      <c r="F193" s="11" t="s">
        <v>58</v>
      </c>
      <c r="G193" s="12">
        <v>4.0</v>
      </c>
      <c r="H193" s="13">
        <v>418.23</v>
      </c>
      <c r="I193" s="14">
        <f t="shared" si="1"/>
        <v>1672.92</v>
      </c>
      <c r="J193" s="15">
        <f t="shared" si="2"/>
        <v>2025</v>
      </c>
      <c r="K193" s="15">
        <f t="shared" si="3"/>
        <v>3</v>
      </c>
      <c r="L193" s="15">
        <f t="shared" si="4"/>
        <v>30</v>
      </c>
      <c r="M193" s="15">
        <f t="shared" si="5"/>
        <v>1</v>
      </c>
      <c r="N193" s="16">
        <f t="shared" si="6"/>
        <v>669.168</v>
      </c>
      <c r="O193" s="16">
        <f t="shared" si="7"/>
        <v>167.292</v>
      </c>
      <c r="P193" s="17" t="str">
        <f t="shared" si="8"/>
        <v>2025_3</v>
      </c>
      <c r="Q193" s="17" t="str">
        <f t="shared" si="9"/>
        <v>Não VIP</v>
      </c>
    </row>
    <row r="194" ht="15.75" customHeight="1">
      <c r="A194" s="9">
        <v>45746.0</v>
      </c>
      <c r="B194" s="10">
        <v>2612.0</v>
      </c>
      <c r="C194" s="11" t="s">
        <v>246</v>
      </c>
      <c r="D194" s="11" t="s">
        <v>22</v>
      </c>
      <c r="E194" s="11" t="s">
        <v>32</v>
      </c>
      <c r="F194" s="11" t="s">
        <v>56</v>
      </c>
      <c r="G194" s="12">
        <v>4.0</v>
      </c>
      <c r="H194" s="13">
        <v>1886.77</v>
      </c>
      <c r="I194" s="14">
        <f t="shared" si="1"/>
        <v>7547.08</v>
      </c>
      <c r="J194" s="15">
        <f t="shared" si="2"/>
        <v>2025</v>
      </c>
      <c r="K194" s="15">
        <f t="shared" si="3"/>
        <v>3</v>
      </c>
      <c r="L194" s="15">
        <f t="shared" si="4"/>
        <v>30</v>
      </c>
      <c r="M194" s="15">
        <f t="shared" si="5"/>
        <v>1</v>
      </c>
      <c r="N194" s="16">
        <f t="shared" si="6"/>
        <v>3018.832</v>
      </c>
      <c r="O194" s="16">
        <f t="shared" si="7"/>
        <v>754.708</v>
      </c>
      <c r="P194" s="17" t="str">
        <f t="shared" si="8"/>
        <v>2025_3</v>
      </c>
      <c r="Q194" s="17" t="str">
        <f t="shared" si="9"/>
        <v>Não VIP</v>
      </c>
    </row>
    <row r="195" ht="15.75" customHeight="1">
      <c r="A195" s="9">
        <v>45746.0</v>
      </c>
      <c r="B195" s="10">
        <v>3696.0</v>
      </c>
      <c r="C195" s="11" t="s">
        <v>247</v>
      </c>
      <c r="D195" s="11" t="s">
        <v>43</v>
      </c>
      <c r="E195" s="11" t="s">
        <v>23</v>
      </c>
      <c r="F195" s="11" t="s">
        <v>35</v>
      </c>
      <c r="G195" s="12">
        <v>1.0</v>
      </c>
      <c r="H195" s="13">
        <v>2660.26</v>
      </c>
      <c r="I195" s="14">
        <f t="shared" si="1"/>
        <v>2660.26</v>
      </c>
      <c r="J195" s="15">
        <f t="shared" si="2"/>
        <v>2025</v>
      </c>
      <c r="K195" s="15">
        <f t="shared" si="3"/>
        <v>3</v>
      </c>
      <c r="L195" s="15">
        <f t="shared" si="4"/>
        <v>30</v>
      </c>
      <c r="M195" s="15">
        <f t="shared" si="5"/>
        <v>1</v>
      </c>
      <c r="N195" s="16">
        <f t="shared" si="6"/>
        <v>1064.104</v>
      </c>
      <c r="O195" s="16">
        <f t="shared" si="7"/>
        <v>266.026</v>
      </c>
      <c r="P195" s="17" t="str">
        <f t="shared" si="8"/>
        <v>2025_3</v>
      </c>
      <c r="Q195" s="17" t="str">
        <f t="shared" si="9"/>
        <v>Não VIP</v>
      </c>
    </row>
    <row r="196" ht="15.75" customHeight="1">
      <c r="A196" s="9">
        <v>45777.0</v>
      </c>
      <c r="B196" s="10">
        <v>5748.0</v>
      </c>
      <c r="C196" s="11" t="s">
        <v>248</v>
      </c>
      <c r="D196" s="11" t="s">
        <v>31</v>
      </c>
      <c r="E196" s="11" t="s">
        <v>19</v>
      </c>
      <c r="F196" s="11" t="s">
        <v>44</v>
      </c>
      <c r="G196" s="12">
        <v>8.0</v>
      </c>
      <c r="H196" s="13">
        <v>192.91</v>
      </c>
      <c r="I196" s="14">
        <f t="shared" si="1"/>
        <v>1543.28</v>
      </c>
      <c r="J196" s="15">
        <f t="shared" si="2"/>
        <v>2025</v>
      </c>
      <c r="K196" s="15">
        <f t="shared" si="3"/>
        <v>4</v>
      </c>
      <c r="L196" s="15">
        <f t="shared" si="4"/>
        <v>30</v>
      </c>
      <c r="M196" s="15">
        <f t="shared" si="5"/>
        <v>4</v>
      </c>
      <c r="N196" s="16">
        <f t="shared" si="6"/>
        <v>617.312</v>
      </c>
      <c r="O196" s="16">
        <f t="shared" si="7"/>
        <v>154.328</v>
      </c>
      <c r="P196" s="17" t="str">
        <f t="shared" si="8"/>
        <v>2025_4</v>
      </c>
      <c r="Q196" s="17" t="str">
        <f t="shared" si="9"/>
        <v>Não VIP</v>
      </c>
    </row>
    <row r="197" ht="15.75" customHeight="1">
      <c r="A197" s="9">
        <v>45807.0</v>
      </c>
      <c r="B197" s="10">
        <v>7919.0</v>
      </c>
      <c r="C197" s="11" t="s">
        <v>249</v>
      </c>
      <c r="D197" s="11" t="s">
        <v>27</v>
      </c>
      <c r="E197" s="11" t="s">
        <v>23</v>
      </c>
      <c r="F197" s="11" t="s">
        <v>52</v>
      </c>
      <c r="G197" s="12">
        <v>5.0</v>
      </c>
      <c r="H197" s="13">
        <v>1264.31</v>
      </c>
      <c r="I197" s="14">
        <f t="shared" si="1"/>
        <v>6321.55</v>
      </c>
      <c r="J197" s="15">
        <f t="shared" si="2"/>
        <v>2025</v>
      </c>
      <c r="K197" s="15">
        <f t="shared" si="3"/>
        <v>5</v>
      </c>
      <c r="L197" s="15">
        <f t="shared" si="4"/>
        <v>30</v>
      </c>
      <c r="M197" s="15">
        <f t="shared" si="5"/>
        <v>6</v>
      </c>
      <c r="N197" s="16">
        <f t="shared" si="6"/>
        <v>2528.62</v>
      </c>
      <c r="O197" s="16">
        <f t="shared" si="7"/>
        <v>632.155</v>
      </c>
      <c r="P197" s="17" t="str">
        <f t="shared" si="8"/>
        <v>2025_5</v>
      </c>
      <c r="Q197" s="17" t="str">
        <f t="shared" si="9"/>
        <v>Não VIP</v>
      </c>
    </row>
    <row r="198" ht="15.75" customHeight="1">
      <c r="A198" s="9">
        <v>45656.0</v>
      </c>
      <c r="B198" s="10">
        <v>1087.0</v>
      </c>
      <c r="C198" s="11" t="s">
        <v>250</v>
      </c>
      <c r="D198" s="11" t="s">
        <v>65</v>
      </c>
      <c r="E198" s="11" t="s">
        <v>23</v>
      </c>
      <c r="F198" s="11" t="s">
        <v>80</v>
      </c>
      <c r="G198" s="12">
        <v>1.0</v>
      </c>
      <c r="H198" s="13">
        <v>2319.21</v>
      </c>
      <c r="I198" s="14">
        <f t="shared" si="1"/>
        <v>2319.21</v>
      </c>
      <c r="J198" s="15">
        <f t="shared" si="2"/>
        <v>2024</v>
      </c>
      <c r="K198" s="15">
        <f t="shared" si="3"/>
        <v>12</v>
      </c>
      <c r="L198" s="15">
        <f t="shared" si="4"/>
        <v>30</v>
      </c>
      <c r="M198" s="15">
        <f t="shared" si="5"/>
        <v>2</v>
      </c>
      <c r="N198" s="16">
        <f t="shared" si="6"/>
        <v>927.684</v>
      </c>
      <c r="O198" s="16">
        <f t="shared" si="7"/>
        <v>231.921</v>
      </c>
      <c r="P198" s="17" t="str">
        <f t="shared" si="8"/>
        <v>2024_12</v>
      </c>
      <c r="Q198" s="17" t="str">
        <f t="shared" si="9"/>
        <v>Não VIP</v>
      </c>
    </row>
    <row r="199" ht="15.75" customHeight="1">
      <c r="A199" s="9">
        <v>45747.0</v>
      </c>
      <c r="B199" s="10">
        <v>4450.0</v>
      </c>
      <c r="C199" s="11" t="s">
        <v>251</v>
      </c>
      <c r="D199" s="11" t="s">
        <v>43</v>
      </c>
      <c r="E199" s="11" t="s">
        <v>28</v>
      </c>
      <c r="F199" s="11" t="s">
        <v>50</v>
      </c>
      <c r="G199" s="12">
        <v>7.0</v>
      </c>
      <c r="H199" s="13">
        <v>1682.66</v>
      </c>
      <c r="I199" s="14">
        <f t="shared" si="1"/>
        <v>11778.62</v>
      </c>
      <c r="J199" s="15">
        <f t="shared" si="2"/>
        <v>2025</v>
      </c>
      <c r="K199" s="15">
        <f t="shared" si="3"/>
        <v>3</v>
      </c>
      <c r="L199" s="15">
        <f t="shared" si="4"/>
        <v>31</v>
      </c>
      <c r="M199" s="15">
        <f t="shared" si="5"/>
        <v>2</v>
      </c>
      <c r="N199" s="16">
        <f t="shared" si="6"/>
        <v>4711.448</v>
      </c>
      <c r="O199" s="16">
        <f t="shared" si="7"/>
        <v>1177.862</v>
      </c>
      <c r="P199" s="17" t="str">
        <f t="shared" si="8"/>
        <v>2025_3</v>
      </c>
      <c r="Q199" s="17" t="str">
        <f t="shared" si="9"/>
        <v>VIP</v>
      </c>
    </row>
    <row r="200" ht="15.75" customHeight="1">
      <c r="A200" s="9">
        <v>45747.0</v>
      </c>
      <c r="B200" s="10">
        <v>4959.0</v>
      </c>
      <c r="C200" s="11" t="s">
        <v>252</v>
      </c>
      <c r="D200" s="11" t="s">
        <v>43</v>
      </c>
      <c r="E200" s="11" t="s">
        <v>23</v>
      </c>
      <c r="F200" s="11" t="s">
        <v>80</v>
      </c>
      <c r="G200" s="12">
        <v>3.0</v>
      </c>
      <c r="H200" s="13">
        <v>1022.47</v>
      </c>
      <c r="I200" s="14">
        <f t="shared" si="1"/>
        <v>3067.41</v>
      </c>
      <c r="J200" s="15">
        <f t="shared" si="2"/>
        <v>2025</v>
      </c>
      <c r="K200" s="15">
        <f t="shared" si="3"/>
        <v>3</v>
      </c>
      <c r="L200" s="15">
        <f t="shared" si="4"/>
        <v>31</v>
      </c>
      <c r="M200" s="15">
        <f t="shared" si="5"/>
        <v>2</v>
      </c>
      <c r="N200" s="16">
        <f t="shared" si="6"/>
        <v>1226.964</v>
      </c>
      <c r="O200" s="16">
        <f t="shared" si="7"/>
        <v>306.741</v>
      </c>
      <c r="P200" s="17" t="str">
        <f t="shared" si="8"/>
        <v>2025_3</v>
      </c>
      <c r="Q200" s="17" t="str">
        <f t="shared" si="9"/>
        <v>Não VIP</v>
      </c>
    </row>
    <row r="201" ht="15.75" customHeight="1">
      <c r="A201" s="9">
        <v>45808.0</v>
      </c>
      <c r="B201" s="10">
        <v>9968.0</v>
      </c>
      <c r="C201" s="11" t="s">
        <v>253</v>
      </c>
      <c r="D201" s="11" t="s">
        <v>27</v>
      </c>
      <c r="E201" s="11" t="s">
        <v>23</v>
      </c>
      <c r="F201" s="11" t="s">
        <v>35</v>
      </c>
      <c r="G201" s="12">
        <v>7.0</v>
      </c>
      <c r="H201" s="13">
        <v>1493.85</v>
      </c>
      <c r="I201" s="14">
        <f t="shared" si="1"/>
        <v>10456.95</v>
      </c>
      <c r="J201" s="15">
        <f t="shared" si="2"/>
        <v>2025</v>
      </c>
      <c r="K201" s="15">
        <f t="shared" si="3"/>
        <v>5</v>
      </c>
      <c r="L201" s="15">
        <f t="shared" si="4"/>
        <v>31</v>
      </c>
      <c r="M201" s="15">
        <f t="shared" si="5"/>
        <v>7</v>
      </c>
      <c r="N201" s="16">
        <f t="shared" si="6"/>
        <v>4182.78</v>
      </c>
      <c r="O201" s="16">
        <f t="shared" si="7"/>
        <v>1045.695</v>
      </c>
      <c r="P201" s="17" t="str">
        <f t="shared" si="8"/>
        <v>2025_5</v>
      </c>
      <c r="Q201" s="17" t="str">
        <f t="shared" si="9"/>
        <v>VIP</v>
      </c>
    </row>
    <row r="202" ht="15.75" customHeight="1">
      <c r="A202" s="20"/>
      <c r="B202" s="21"/>
      <c r="C202" s="22"/>
      <c r="D202" s="22"/>
      <c r="E202" s="22"/>
      <c r="F202" s="22"/>
      <c r="G202" s="23"/>
      <c r="H202" s="24"/>
      <c r="I202" s="25"/>
      <c r="N202" s="26"/>
      <c r="O202" s="26"/>
    </row>
    <row r="203" ht="15.75" customHeight="1">
      <c r="A203" s="20"/>
      <c r="B203" s="21"/>
      <c r="C203" s="22"/>
      <c r="D203" s="22"/>
      <c r="E203" s="22"/>
      <c r="F203" s="22"/>
      <c r="G203" s="23"/>
      <c r="H203" s="24"/>
      <c r="I203" s="25"/>
      <c r="N203" s="26"/>
      <c r="O203" s="26"/>
    </row>
    <row r="204" ht="15.75" customHeight="1">
      <c r="A204" s="20"/>
      <c r="B204" s="21"/>
      <c r="C204" s="22"/>
      <c r="D204" s="22"/>
      <c r="E204" s="22"/>
      <c r="F204" s="22"/>
      <c r="G204" s="23"/>
      <c r="H204" s="24"/>
      <c r="I204" s="25"/>
      <c r="N204" s="26"/>
      <c r="O204" s="26"/>
    </row>
    <row r="205" ht="15.75" customHeight="1">
      <c r="A205" s="20"/>
      <c r="B205" s="21"/>
      <c r="C205" s="22"/>
      <c r="D205" s="22"/>
      <c r="E205" s="22"/>
      <c r="F205" s="22"/>
      <c r="G205" s="23"/>
      <c r="H205" s="24"/>
      <c r="I205" s="25"/>
      <c r="N205" s="26"/>
      <c r="O205" s="26"/>
    </row>
    <row r="206" ht="15.75" customHeight="1">
      <c r="A206" s="20"/>
      <c r="B206" s="21"/>
      <c r="C206" s="22"/>
      <c r="D206" s="22"/>
      <c r="E206" s="22"/>
      <c r="F206" s="22"/>
      <c r="G206" s="23"/>
      <c r="H206" s="24"/>
      <c r="I206" s="25"/>
      <c r="N206" s="26"/>
      <c r="O206" s="26"/>
    </row>
    <row r="207" ht="15.75" customHeight="1">
      <c r="A207" s="20"/>
      <c r="B207" s="21"/>
      <c r="C207" s="22"/>
      <c r="D207" s="22"/>
      <c r="E207" s="22"/>
      <c r="F207" s="22"/>
      <c r="G207" s="23"/>
      <c r="H207" s="24"/>
      <c r="I207" s="25"/>
      <c r="N207" s="26"/>
      <c r="O207" s="26"/>
    </row>
    <row r="208" ht="15.75" customHeight="1">
      <c r="A208" s="20"/>
      <c r="B208" s="21"/>
      <c r="C208" s="22"/>
      <c r="D208" s="22"/>
      <c r="E208" s="22"/>
      <c r="F208" s="22"/>
      <c r="G208" s="23"/>
      <c r="H208" s="24"/>
      <c r="I208" s="25"/>
      <c r="N208" s="26"/>
      <c r="O208" s="26"/>
    </row>
    <row r="209" ht="15.75" customHeight="1">
      <c r="A209" s="20"/>
      <c r="B209" s="21"/>
      <c r="C209" s="22"/>
      <c r="D209" s="22"/>
      <c r="E209" s="22"/>
      <c r="F209" s="22"/>
      <c r="G209" s="23"/>
      <c r="H209" s="24"/>
      <c r="I209" s="25"/>
      <c r="N209" s="26"/>
      <c r="O209" s="26"/>
    </row>
    <row r="210" ht="15.75" customHeight="1">
      <c r="A210" s="20"/>
      <c r="B210" s="21"/>
      <c r="C210" s="22"/>
      <c r="D210" s="22"/>
      <c r="E210" s="22"/>
      <c r="F210" s="22"/>
      <c r="G210" s="23"/>
      <c r="H210" s="24"/>
      <c r="I210" s="25"/>
      <c r="N210" s="26"/>
      <c r="O210" s="26"/>
    </row>
    <row r="211" ht="15.75" customHeight="1">
      <c r="A211" s="20"/>
      <c r="B211" s="21"/>
      <c r="C211" s="22"/>
      <c r="D211" s="22"/>
      <c r="E211" s="22"/>
      <c r="F211" s="22"/>
      <c r="G211" s="23"/>
      <c r="H211" s="24"/>
      <c r="I211" s="25"/>
      <c r="N211" s="26"/>
      <c r="O211" s="26"/>
    </row>
    <row r="212" ht="15.75" customHeight="1">
      <c r="A212" s="20"/>
      <c r="B212" s="21"/>
      <c r="C212" s="22"/>
      <c r="D212" s="22"/>
      <c r="E212" s="22"/>
      <c r="F212" s="22"/>
      <c r="G212" s="23"/>
      <c r="H212" s="24"/>
      <c r="I212" s="25"/>
      <c r="N212" s="26"/>
      <c r="O212" s="26"/>
    </row>
    <row r="213" ht="15.75" customHeight="1">
      <c r="A213" s="20"/>
      <c r="B213" s="21"/>
      <c r="C213" s="22"/>
      <c r="D213" s="22"/>
      <c r="E213" s="22"/>
      <c r="F213" s="22"/>
      <c r="G213" s="23"/>
      <c r="H213" s="24"/>
      <c r="I213" s="25"/>
      <c r="N213" s="26"/>
      <c r="O213" s="26"/>
    </row>
    <row r="214" ht="15.75" customHeight="1">
      <c r="A214" s="20"/>
      <c r="B214" s="21"/>
      <c r="C214" s="22"/>
      <c r="D214" s="22"/>
      <c r="E214" s="22"/>
      <c r="F214" s="22"/>
      <c r="G214" s="23"/>
      <c r="H214" s="24"/>
      <c r="I214" s="25"/>
      <c r="N214" s="26"/>
      <c r="O214" s="26"/>
    </row>
    <row r="215" ht="15.75" customHeight="1">
      <c r="A215" s="20"/>
      <c r="B215" s="21"/>
      <c r="C215" s="22"/>
      <c r="D215" s="22"/>
      <c r="E215" s="22"/>
      <c r="F215" s="22"/>
      <c r="G215" s="23"/>
      <c r="H215" s="24"/>
      <c r="I215" s="25"/>
      <c r="N215" s="26"/>
      <c r="O215" s="26"/>
    </row>
    <row r="216" ht="15.75" customHeight="1">
      <c r="A216" s="20"/>
      <c r="B216" s="21"/>
      <c r="C216" s="22"/>
      <c r="D216" s="22"/>
      <c r="E216" s="22"/>
      <c r="F216" s="22"/>
      <c r="G216" s="23"/>
      <c r="H216" s="24"/>
      <c r="I216" s="25"/>
      <c r="N216" s="26"/>
      <c r="O216" s="26"/>
    </row>
    <row r="217" ht="15.75" customHeight="1">
      <c r="A217" s="20"/>
      <c r="B217" s="21"/>
      <c r="C217" s="22"/>
      <c r="D217" s="22"/>
      <c r="E217" s="22"/>
      <c r="F217" s="22"/>
      <c r="G217" s="23"/>
      <c r="H217" s="24"/>
      <c r="I217" s="25"/>
      <c r="N217" s="26"/>
      <c r="O217" s="26"/>
    </row>
    <row r="218" ht="15.75" customHeight="1">
      <c r="A218" s="20"/>
      <c r="B218" s="21"/>
      <c r="C218" s="22"/>
      <c r="D218" s="22"/>
      <c r="E218" s="22"/>
      <c r="F218" s="22"/>
      <c r="G218" s="23"/>
      <c r="H218" s="24"/>
      <c r="I218" s="25"/>
      <c r="N218" s="26"/>
      <c r="O218" s="26"/>
    </row>
    <row r="219" ht="15.75" customHeight="1">
      <c r="A219" s="20"/>
      <c r="B219" s="21"/>
      <c r="C219" s="22"/>
      <c r="D219" s="22"/>
      <c r="E219" s="22"/>
      <c r="F219" s="22"/>
      <c r="G219" s="23"/>
      <c r="H219" s="24"/>
      <c r="I219" s="25"/>
      <c r="N219" s="26"/>
      <c r="O219" s="26"/>
    </row>
    <row r="220" ht="15.75" customHeight="1">
      <c r="A220" s="20"/>
      <c r="B220" s="21"/>
      <c r="C220" s="22"/>
      <c r="D220" s="22"/>
      <c r="E220" s="22"/>
      <c r="F220" s="22"/>
      <c r="G220" s="23"/>
      <c r="H220" s="24"/>
      <c r="I220" s="25"/>
      <c r="N220" s="26"/>
      <c r="O220" s="26"/>
    </row>
    <row r="221" ht="15.75" customHeight="1">
      <c r="A221" s="20"/>
      <c r="B221" s="21"/>
      <c r="C221" s="22"/>
      <c r="D221" s="22"/>
      <c r="E221" s="22"/>
      <c r="F221" s="22"/>
      <c r="G221" s="23"/>
      <c r="H221" s="24"/>
      <c r="I221" s="25"/>
      <c r="N221" s="26"/>
      <c r="O221" s="26"/>
    </row>
    <row r="222" ht="15.75" customHeight="1">
      <c r="A222" s="20"/>
      <c r="B222" s="21"/>
      <c r="C222" s="22"/>
      <c r="D222" s="22"/>
      <c r="E222" s="22"/>
      <c r="F222" s="22"/>
      <c r="G222" s="23"/>
      <c r="H222" s="24"/>
      <c r="I222" s="25"/>
      <c r="N222" s="26"/>
      <c r="O222" s="26"/>
    </row>
    <row r="223" ht="15.75" customHeight="1">
      <c r="A223" s="20"/>
      <c r="B223" s="21"/>
      <c r="C223" s="22"/>
      <c r="D223" s="22"/>
      <c r="E223" s="22"/>
      <c r="F223" s="22"/>
      <c r="G223" s="23"/>
      <c r="H223" s="24"/>
      <c r="I223" s="25"/>
      <c r="N223" s="26"/>
      <c r="O223" s="26"/>
    </row>
    <row r="224" ht="15.75" customHeight="1">
      <c r="A224" s="20"/>
      <c r="B224" s="21"/>
      <c r="C224" s="22"/>
      <c r="D224" s="22"/>
      <c r="E224" s="22"/>
      <c r="F224" s="22"/>
      <c r="G224" s="23"/>
      <c r="H224" s="24"/>
      <c r="I224" s="25"/>
      <c r="N224" s="26"/>
      <c r="O224" s="26"/>
    </row>
    <row r="225" ht="15.75" customHeight="1">
      <c r="A225" s="20"/>
      <c r="B225" s="21"/>
      <c r="C225" s="22"/>
      <c r="D225" s="22"/>
      <c r="E225" s="22"/>
      <c r="F225" s="22"/>
      <c r="G225" s="23"/>
      <c r="H225" s="24"/>
      <c r="I225" s="25"/>
      <c r="N225" s="26"/>
      <c r="O225" s="26"/>
    </row>
    <row r="226" ht="15.75" customHeight="1">
      <c r="A226" s="20"/>
      <c r="B226" s="21"/>
      <c r="C226" s="22"/>
      <c r="D226" s="22"/>
      <c r="E226" s="22"/>
      <c r="F226" s="22"/>
      <c r="G226" s="23"/>
      <c r="H226" s="24"/>
      <c r="I226" s="25"/>
      <c r="N226" s="26"/>
      <c r="O226" s="26"/>
    </row>
    <row r="227" ht="15.75" customHeight="1">
      <c r="A227" s="20"/>
      <c r="B227" s="21"/>
      <c r="C227" s="22"/>
      <c r="D227" s="22"/>
      <c r="E227" s="22"/>
      <c r="F227" s="22"/>
      <c r="G227" s="23"/>
      <c r="H227" s="24"/>
      <c r="I227" s="25"/>
      <c r="N227" s="26"/>
      <c r="O227" s="26"/>
    </row>
    <row r="228" ht="15.75" customHeight="1">
      <c r="A228" s="20"/>
      <c r="B228" s="21"/>
      <c r="C228" s="22"/>
      <c r="D228" s="22"/>
      <c r="E228" s="22"/>
      <c r="F228" s="22"/>
      <c r="G228" s="23"/>
      <c r="H228" s="24"/>
      <c r="I228" s="25"/>
      <c r="N228" s="26"/>
      <c r="O228" s="26"/>
    </row>
    <row r="229" ht="15.75" customHeight="1">
      <c r="A229" s="20"/>
      <c r="B229" s="21"/>
      <c r="C229" s="22"/>
      <c r="D229" s="22"/>
      <c r="E229" s="22"/>
      <c r="F229" s="22"/>
      <c r="G229" s="23"/>
      <c r="H229" s="24"/>
      <c r="I229" s="25"/>
      <c r="N229" s="26"/>
      <c r="O229" s="26"/>
    </row>
    <row r="230" ht="15.75" customHeight="1">
      <c r="A230" s="20"/>
      <c r="B230" s="21"/>
      <c r="C230" s="22"/>
      <c r="D230" s="22"/>
      <c r="E230" s="22"/>
      <c r="F230" s="22"/>
      <c r="G230" s="23"/>
      <c r="H230" s="24"/>
      <c r="I230" s="25"/>
      <c r="N230" s="26"/>
      <c r="O230" s="26"/>
    </row>
    <row r="231" ht="15.75" customHeight="1">
      <c r="A231" s="20"/>
      <c r="B231" s="21"/>
      <c r="C231" s="22"/>
      <c r="D231" s="22"/>
      <c r="E231" s="22"/>
      <c r="F231" s="22"/>
      <c r="G231" s="23"/>
      <c r="H231" s="24"/>
      <c r="I231" s="25"/>
      <c r="N231" s="26"/>
      <c r="O231" s="26"/>
    </row>
    <row r="232" ht="15.75" customHeight="1">
      <c r="A232" s="20"/>
      <c r="B232" s="21"/>
      <c r="C232" s="22"/>
      <c r="D232" s="22"/>
      <c r="E232" s="22"/>
      <c r="F232" s="22"/>
      <c r="G232" s="23"/>
      <c r="H232" s="24"/>
      <c r="I232" s="25"/>
      <c r="N232" s="26"/>
      <c r="O232" s="26"/>
    </row>
    <row r="233" ht="15.75" customHeight="1">
      <c r="A233" s="20"/>
      <c r="B233" s="21"/>
      <c r="C233" s="22"/>
      <c r="D233" s="22"/>
      <c r="E233" s="22"/>
      <c r="F233" s="22"/>
      <c r="G233" s="23"/>
      <c r="H233" s="24"/>
      <c r="I233" s="25"/>
      <c r="N233" s="26"/>
      <c r="O233" s="26"/>
    </row>
    <row r="234" ht="15.75" customHeight="1">
      <c r="A234" s="20"/>
      <c r="B234" s="21"/>
      <c r="C234" s="22"/>
      <c r="D234" s="22"/>
      <c r="E234" s="22"/>
      <c r="F234" s="22"/>
      <c r="G234" s="23"/>
      <c r="H234" s="24"/>
      <c r="I234" s="25"/>
      <c r="N234" s="26"/>
      <c r="O234" s="26"/>
    </row>
    <row r="235" ht="15.75" customHeight="1">
      <c r="A235" s="20"/>
      <c r="B235" s="21"/>
      <c r="C235" s="22"/>
      <c r="D235" s="22"/>
      <c r="E235" s="22"/>
      <c r="F235" s="22"/>
      <c r="G235" s="23"/>
      <c r="H235" s="24"/>
      <c r="I235" s="25"/>
      <c r="N235" s="26"/>
      <c r="O235" s="26"/>
    </row>
    <row r="236" ht="15.75" customHeight="1">
      <c r="A236" s="20"/>
      <c r="B236" s="21"/>
      <c r="C236" s="22"/>
      <c r="D236" s="22"/>
      <c r="E236" s="22"/>
      <c r="F236" s="22"/>
      <c r="G236" s="23"/>
      <c r="H236" s="24"/>
      <c r="I236" s="25"/>
      <c r="N236" s="26"/>
      <c r="O236" s="26"/>
    </row>
    <row r="237" ht="15.75" customHeight="1">
      <c r="A237" s="20"/>
      <c r="B237" s="21"/>
      <c r="C237" s="22"/>
      <c r="D237" s="22"/>
      <c r="E237" s="22"/>
      <c r="F237" s="22"/>
      <c r="G237" s="23"/>
      <c r="H237" s="24"/>
      <c r="I237" s="25"/>
      <c r="N237" s="26"/>
      <c r="O237" s="26"/>
    </row>
    <row r="238" ht="15.75" customHeight="1">
      <c r="A238" s="20"/>
      <c r="B238" s="21"/>
      <c r="C238" s="22"/>
      <c r="D238" s="22"/>
      <c r="E238" s="22"/>
      <c r="F238" s="22"/>
      <c r="G238" s="23"/>
      <c r="H238" s="24"/>
      <c r="I238" s="25"/>
      <c r="N238" s="26"/>
      <c r="O238" s="26"/>
    </row>
    <row r="239" ht="15.75" customHeight="1">
      <c r="A239" s="20"/>
      <c r="B239" s="21"/>
      <c r="C239" s="22"/>
      <c r="D239" s="22"/>
      <c r="E239" s="22"/>
      <c r="F239" s="22"/>
      <c r="G239" s="23"/>
      <c r="H239" s="24"/>
      <c r="I239" s="25"/>
      <c r="N239" s="26"/>
      <c r="O239" s="26"/>
    </row>
    <row r="240" ht="15.75" customHeight="1">
      <c r="A240" s="20"/>
      <c r="B240" s="21"/>
      <c r="C240" s="22"/>
      <c r="D240" s="22"/>
      <c r="E240" s="22"/>
      <c r="F240" s="22"/>
      <c r="G240" s="23"/>
      <c r="H240" s="24"/>
      <c r="I240" s="25"/>
      <c r="N240" s="26"/>
      <c r="O240" s="26"/>
    </row>
    <row r="241" ht="15.75" customHeight="1">
      <c r="A241" s="20"/>
      <c r="B241" s="21"/>
      <c r="C241" s="22"/>
      <c r="D241" s="22"/>
      <c r="E241" s="22"/>
      <c r="F241" s="22"/>
      <c r="G241" s="23"/>
      <c r="H241" s="24"/>
      <c r="I241" s="25"/>
      <c r="N241" s="26"/>
      <c r="O241" s="26"/>
    </row>
    <row r="242" ht="15.75" customHeight="1">
      <c r="A242" s="20"/>
      <c r="B242" s="21"/>
      <c r="C242" s="22"/>
      <c r="D242" s="22"/>
      <c r="E242" s="22"/>
      <c r="F242" s="22"/>
      <c r="G242" s="23"/>
      <c r="H242" s="24"/>
      <c r="I242" s="25"/>
      <c r="N242" s="26"/>
      <c r="O242" s="26"/>
    </row>
    <row r="243" ht="15.75" customHeight="1">
      <c r="A243" s="20"/>
      <c r="B243" s="21"/>
      <c r="C243" s="22"/>
      <c r="D243" s="22"/>
      <c r="E243" s="22"/>
      <c r="F243" s="22"/>
      <c r="G243" s="23"/>
      <c r="H243" s="24"/>
      <c r="I243" s="25"/>
      <c r="N243" s="26"/>
      <c r="O243" s="26"/>
    </row>
    <row r="244" ht="15.75" customHeight="1">
      <c r="A244" s="20"/>
      <c r="B244" s="21"/>
      <c r="C244" s="22"/>
      <c r="D244" s="22"/>
      <c r="E244" s="22"/>
      <c r="F244" s="22"/>
      <c r="G244" s="23"/>
      <c r="H244" s="24"/>
      <c r="I244" s="25"/>
      <c r="N244" s="26"/>
      <c r="O244" s="26"/>
    </row>
    <row r="245" ht="15.75" customHeight="1">
      <c r="A245" s="20"/>
      <c r="B245" s="21"/>
      <c r="C245" s="22"/>
      <c r="D245" s="22"/>
      <c r="E245" s="22"/>
      <c r="F245" s="22"/>
      <c r="G245" s="23"/>
      <c r="H245" s="24"/>
      <c r="I245" s="25"/>
      <c r="N245" s="26"/>
      <c r="O245" s="26"/>
    </row>
    <row r="246" ht="15.75" customHeight="1">
      <c r="A246" s="20"/>
      <c r="B246" s="21"/>
      <c r="C246" s="22"/>
      <c r="D246" s="22"/>
      <c r="E246" s="22"/>
      <c r="F246" s="22"/>
      <c r="G246" s="23"/>
      <c r="H246" s="24"/>
      <c r="I246" s="25"/>
      <c r="N246" s="26"/>
      <c r="O246" s="26"/>
    </row>
    <row r="247" ht="15.75" customHeight="1">
      <c r="A247" s="20"/>
      <c r="B247" s="21"/>
      <c r="C247" s="22"/>
      <c r="D247" s="22"/>
      <c r="E247" s="22"/>
      <c r="F247" s="22"/>
      <c r="G247" s="23"/>
      <c r="H247" s="24"/>
      <c r="I247" s="25"/>
      <c r="N247" s="26"/>
      <c r="O247" s="26"/>
    </row>
    <row r="248" ht="15.75" customHeight="1">
      <c r="A248" s="20"/>
      <c r="B248" s="21"/>
      <c r="C248" s="22"/>
      <c r="D248" s="22"/>
      <c r="E248" s="22"/>
      <c r="F248" s="22"/>
      <c r="G248" s="23"/>
      <c r="H248" s="24"/>
      <c r="I248" s="25"/>
      <c r="N248" s="26"/>
      <c r="O248" s="26"/>
    </row>
    <row r="249" ht="15.75" customHeight="1">
      <c r="A249" s="20"/>
      <c r="B249" s="21"/>
      <c r="C249" s="22"/>
      <c r="D249" s="22"/>
      <c r="E249" s="22"/>
      <c r="F249" s="22"/>
      <c r="G249" s="23"/>
      <c r="H249" s="24"/>
      <c r="I249" s="25"/>
      <c r="N249" s="26"/>
      <c r="O249" s="26"/>
    </row>
    <row r="250" ht="15.75" customHeight="1">
      <c r="A250" s="20"/>
      <c r="B250" s="21"/>
      <c r="C250" s="22"/>
      <c r="D250" s="22"/>
      <c r="E250" s="22"/>
      <c r="F250" s="22"/>
      <c r="G250" s="23"/>
      <c r="H250" s="24"/>
      <c r="I250" s="25"/>
      <c r="N250" s="26"/>
      <c r="O250" s="26"/>
    </row>
    <row r="251" ht="15.75" customHeight="1">
      <c r="A251" s="20"/>
      <c r="B251" s="21"/>
      <c r="C251" s="22"/>
      <c r="D251" s="22"/>
      <c r="E251" s="22"/>
      <c r="F251" s="22"/>
      <c r="G251" s="23"/>
      <c r="H251" s="24"/>
      <c r="I251" s="25"/>
      <c r="N251" s="26"/>
      <c r="O251" s="26"/>
    </row>
    <row r="252" ht="15.75" customHeight="1">
      <c r="A252" s="20"/>
      <c r="B252" s="21"/>
      <c r="C252" s="22"/>
      <c r="D252" s="22"/>
      <c r="E252" s="22"/>
      <c r="F252" s="22"/>
      <c r="G252" s="23"/>
      <c r="H252" s="24"/>
      <c r="I252" s="25"/>
      <c r="N252" s="26"/>
      <c r="O252" s="26"/>
    </row>
    <row r="253" ht="15.75" customHeight="1">
      <c r="A253" s="20"/>
      <c r="B253" s="21"/>
      <c r="C253" s="22"/>
      <c r="D253" s="22"/>
      <c r="E253" s="22"/>
      <c r="F253" s="22"/>
      <c r="G253" s="23"/>
      <c r="H253" s="24"/>
      <c r="I253" s="25"/>
      <c r="N253" s="26"/>
      <c r="O253" s="26"/>
    </row>
    <row r="254" ht="15.75" customHeight="1">
      <c r="A254" s="20"/>
      <c r="B254" s="21"/>
      <c r="C254" s="22"/>
      <c r="D254" s="22"/>
      <c r="E254" s="22"/>
      <c r="F254" s="22"/>
      <c r="G254" s="23"/>
      <c r="H254" s="24"/>
      <c r="I254" s="25"/>
      <c r="N254" s="26"/>
      <c r="O254" s="26"/>
    </row>
    <row r="255" ht="15.75" customHeight="1">
      <c r="A255" s="20"/>
      <c r="B255" s="21"/>
      <c r="C255" s="22"/>
      <c r="D255" s="22"/>
      <c r="E255" s="22"/>
      <c r="F255" s="22"/>
      <c r="G255" s="23"/>
      <c r="H255" s="24"/>
      <c r="I255" s="25"/>
      <c r="N255" s="26"/>
      <c r="O255" s="26"/>
    </row>
    <row r="256" ht="15.75" customHeight="1">
      <c r="A256" s="20"/>
      <c r="B256" s="21"/>
      <c r="C256" s="22"/>
      <c r="D256" s="22"/>
      <c r="E256" s="22"/>
      <c r="F256" s="22"/>
      <c r="G256" s="23"/>
      <c r="H256" s="24"/>
      <c r="I256" s="25"/>
      <c r="N256" s="26"/>
      <c r="O256" s="26"/>
    </row>
    <row r="257" ht="15.75" customHeight="1">
      <c r="A257" s="20"/>
      <c r="B257" s="21"/>
      <c r="C257" s="22"/>
      <c r="D257" s="22"/>
      <c r="E257" s="22"/>
      <c r="F257" s="22"/>
      <c r="G257" s="23"/>
      <c r="H257" s="24"/>
      <c r="I257" s="25"/>
      <c r="N257" s="26"/>
      <c r="O257" s="26"/>
    </row>
    <row r="258" ht="15.75" customHeight="1">
      <c r="A258" s="20"/>
      <c r="B258" s="21"/>
      <c r="C258" s="22"/>
      <c r="D258" s="22"/>
      <c r="E258" s="22"/>
      <c r="F258" s="22"/>
      <c r="G258" s="23"/>
      <c r="H258" s="24"/>
      <c r="I258" s="25"/>
      <c r="N258" s="26"/>
      <c r="O258" s="26"/>
    </row>
    <row r="259" ht="15.75" customHeight="1">
      <c r="A259" s="20"/>
      <c r="B259" s="21"/>
      <c r="C259" s="22"/>
      <c r="D259" s="22"/>
      <c r="E259" s="22"/>
      <c r="F259" s="22"/>
      <c r="G259" s="23"/>
      <c r="H259" s="24"/>
      <c r="I259" s="25"/>
      <c r="N259" s="26"/>
      <c r="O259" s="26"/>
    </row>
    <row r="260" ht="15.75" customHeight="1">
      <c r="A260" s="20"/>
      <c r="B260" s="21"/>
      <c r="C260" s="22"/>
      <c r="D260" s="22"/>
      <c r="E260" s="22"/>
      <c r="F260" s="22"/>
      <c r="G260" s="23"/>
      <c r="H260" s="24"/>
      <c r="I260" s="25"/>
      <c r="N260" s="26"/>
      <c r="O260" s="26"/>
    </row>
    <row r="261" ht="15.75" customHeight="1">
      <c r="A261" s="20"/>
      <c r="B261" s="21"/>
      <c r="C261" s="22"/>
      <c r="D261" s="22"/>
      <c r="E261" s="22"/>
      <c r="F261" s="22"/>
      <c r="G261" s="23"/>
      <c r="H261" s="24"/>
      <c r="I261" s="25"/>
      <c r="N261" s="26"/>
      <c r="O261" s="26"/>
    </row>
    <row r="262" ht="15.75" customHeight="1">
      <c r="A262" s="20"/>
      <c r="B262" s="21"/>
      <c r="C262" s="22"/>
      <c r="D262" s="22"/>
      <c r="E262" s="22"/>
      <c r="F262" s="22"/>
      <c r="G262" s="23"/>
      <c r="H262" s="24"/>
      <c r="I262" s="25"/>
      <c r="N262" s="26"/>
      <c r="O262" s="26"/>
    </row>
    <row r="263" ht="15.75" customHeight="1">
      <c r="A263" s="20"/>
      <c r="B263" s="21"/>
      <c r="C263" s="22"/>
      <c r="D263" s="22"/>
      <c r="E263" s="22"/>
      <c r="F263" s="22"/>
      <c r="G263" s="23"/>
      <c r="H263" s="24"/>
      <c r="I263" s="25"/>
      <c r="N263" s="26"/>
      <c r="O263" s="26"/>
    </row>
    <row r="264" ht="15.75" customHeight="1">
      <c r="A264" s="20"/>
      <c r="B264" s="21"/>
      <c r="C264" s="22"/>
      <c r="D264" s="22"/>
      <c r="E264" s="22"/>
      <c r="F264" s="22"/>
      <c r="G264" s="23"/>
      <c r="H264" s="24"/>
      <c r="I264" s="25"/>
      <c r="N264" s="26"/>
      <c r="O264" s="26"/>
    </row>
    <row r="265" ht="15.75" customHeight="1">
      <c r="A265" s="20"/>
      <c r="B265" s="21"/>
      <c r="C265" s="22"/>
      <c r="D265" s="22"/>
      <c r="E265" s="22"/>
      <c r="F265" s="22"/>
      <c r="G265" s="23"/>
      <c r="H265" s="24"/>
      <c r="I265" s="25"/>
      <c r="N265" s="26"/>
      <c r="O265" s="26"/>
    </row>
    <row r="266" ht="15.75" customHeight="1">
      <c r="A266" s="20"/>
      <c r="B266" s="21"/>
      <c r="C266" s="22"/>
      <c r="D266" s="22"/>
      <c r="E266" s="22"/>
      <c r="F266" s="22"/>
      <c r="G266" s="23"/>
      <c r="H266" s="24"/>
      <c r="I266" s="25"/>
      <c r="N266" s="26"/>
      <c r="O266" s="26"/>
    </row>
    <row r="267" ht="15.75" customHeight="1">
      <c r="A267" s="20"/>
      <c r="B267" s="21"/>
      <c r="C267" s="22"/>
      <c r="D267" s="22"/>
      <c r="E267" s="22"/>
      <c r="F267" s="22"/>
      <c r="G267" s="23"/>
      <c r="H267" s="24"/>
      <c r="I267" s="25"/>
      <c r="N267" s="26"/>
      <c r="O267" s="26"/>
    </row>
    <row r="268" ht="15.75" customHeight="1">
      <c r="A268" s="20"/>
      <c r="B268" s="21"/>
      <c r="C268" s="22"/>
      <c r="D268" s="22"/>
      <c r="E268" s="22"/>
      <c r="F268" s="22"/>
      <c r="G268" s="23"/>
      <c r="H268" s="24"/>
      <c r="I268" s="25"/>
      <c r="N268" s="26"/>
      <c r="O268" s="26"/>
    </row>
    <row r="269" ht="15.75" customHeight="1">
      <c r="A269" s="20"/>
      <c r="B269" s="21"/>
      <c r="C269" s="22"/>
      <c r="D269" s="22"/>
      <c r="E269" s="22"/>
      <c r="F269" s="22"/>
      <c r="G269" s="23"/>
      <c r="H269" s="24"/>
      <c r="I269" s="25"/>
      <c r="N269" s="26"/>
      <c r="O269" s="26"/>
    </row>
    <row r="270" ht="15.75" customHeight="1">
      <c r="A270" s="20"/>
      <c r="B270" s="21"/>
      <c r="C270" s="22"/>
      <c r="D270" s="22"/>
      <c r="E270" s="22"/>
      <c r="F270" s="22"/>
      <c r="G270" s="23"/>
      <c r="H270" s="24"/>
      <c r="I270" s="25"/>
      <c r="N270" s="26"/>
      <c r="O270" s="26"/>
    </row>
    <row r="271" ht="15.75" customHeight="1">
      <c r="A271" s="20"/>
      <c r="B271" s="21"/>
      <c r="C271" s="22"/>
      <c r="D271" s="22"/>
      <c r="E271" s="22"/>
      <c r="F271" s="22"/>
      <c r="G271" s="23"/>
      <c r="H271" s="24"/>
      <c r="I271" s="25"/>
      <c r="N271" s="26"/>
      <c r="O271" s="26"/>
    </row>
    <row r="272" ht="15.75" customHeight="1">
      <c r="A272" s="20"/>
      <c r="B272" s="21"/>
      <c r="C272" s="22"/>
      <c r="D272" s="22"/>
      <c r="E272" s="22"/>
      <c r="F272" s="22"/>
      <c r="G272" s="23"/>
      <c r="H272" s="24"/>
      <c r="I272" s="25"/>
      <c r="N272" s="26"/>
      <c r="O272" s="26"/>
    </row>
    <row r="273" ht="15.75" customHeight="1">
      <c r="A273" s="20"/>
      <c r="B273" s="21"/>
      <c r="C273" s="22"/>
      <c r="D273" s="22"/>
      <c r="E273" s="22"/>
      <c r="F273" s="22"/>
      <c r="G273" s="23"/>
      <c r="H273" s="24"/>
      <c r="I273" s="25"/>
      <c r="N273" s="26"/>
      <c r="O273" s="26"/>
    </row>
    <row r="274" ht="15.75" customHeight="1">
      <c r="A274" s="20"/>
      <c r="B274" s="21"/>
      <c r="C274" s="22"/>
      <c r="D274" s="22"/>
      <c r="E274" s="22"/>
      <c r="F274" s="22"/>
      <c r="G274" s="23"/>
      <c r="H274" s="24"/>
      <c r="I274" s="25"/>
      <c r="N274" s="26"/>
      <c r="O274" s="26"/>
    </row>
    <row r="275" ht="15.75" customHeight="1">
      <c r="A275" s="20"/>
      <c r="B275" s="21"/>
      <c r="C275" s="22"/>
      <c r="D275" s="22"/>
      <c r="E275" s="22"/>
      <c r="F275" s="22"/>
      <c r="G275" s="23"/>
      <c r="H275" s="24"/>
      <c r="I275" s="25"/>
      <c r="N275" s="26"/>
      <c r="O275" s="26"/>
    </row>
    <row r="276" ht="15.75" customHeight="1">
      <c r="A276" s="20"/>
      <c r="B276" s="21"/>
      <c r="C276" s="22"/>
      <c r="D276" s="22"/>
      <c r="E276" s="22"/>
      <c r="F276" s="22"/>
      <c r="G276" s="23"/>
      <c r="H276" s="24"/>
      <c r="I276" s="25"/>
      <c r="N276" s="26"/>
      <c r="O276" s="26"/>
    </row>
    <row r="277" ht="15.75" customHeight="1">
      <c r="A277" s="20"/>
      <c r="B277" s="21"/>
      <c r="C277" s="22"/>
      <c r="D277" s="22"/>
      <c r="E277" s="22"/>
      <c r="F277" s="22"/>
      <c r="G277" s="23"/>
      <c r="H277" s="24"/>
      <c r="I277" s="25"/>
      <c r="N277" s="26"/>
      <c r="O277" s="26"/>
    </row>
    <row r="278" ht="15.75" customHeight="1">
      <c r="A278" s="20"/>
      <c r="B278" s="21"/>
      <c r="C278" s="22"/>
      <c r="D278" s="22"/>
      <c r="E278" s="22"/>
      <c r="F278" s="22"/>
      <c r="G278" s="23"/>
      <c r="H278" s="24"/>
      <c r="I278" s="25"/>
      <c r="N278" s="26"/>
      <c r="O278" s="26"/>
    </row>
    <row r="279" ht="15.75" customHeight="1">
      <c r="A279" s="20"/>
      <c r="B279" s="21"/>
      <c r="C279" s="22"/>
      <c r="D279" s="22"/>
      <c r="E279" s="22"/>
      <c r="F279" s="22"/>
      <c r="G279" s="23"/>
      <c r="H279" s="24"/>
      <c r="I279" s="25"/>
      <c r="N279" s="26"/>
      <c r="O279" s="26"/>
    </row>
    <row r="280" ht="15.75" customHeight="1">
      <c r="A280" s="20"/>
      <c r="B280" s="21"/>
      <c r="C280" s="22"/>
      <c r="D280" s="22"/>
      <c r="E280" s="22"/>
      <c r="F280" s="22"/>
      <c r="G280" s="23"/>
      <c r="H280" s="24"/>
      <c r="I280" s="25"/>
      <c r="N280" s="26"/>
      <c r="O280" s="26"/>
    </row>
    <row r="281" ht="15.75" customHeight="1">
      <c r="A281" s="20"/>
      <c r="B281" s="21"/>
      <c r="C281" s="22"/>
      <c r="D281" s="22"/>
      <c r="E281" s="22"/>
      <c r="F281" s="22"/>
      <c r="G281" s="23"/>
      <c r="H281" s="24"/>
      <c r="I281" s="25"/>
      <c r="N281" s="26"/>
      <c r="O281" s="26"/>
    </row>
    <row r="282" ht="15.75" customHeight="1">
      <c r="A282" s="20"/>
      <c r="B282" s="21"/>
      <c r="C282" s="22"/>
      <c r="D282" s="22"/>
      <c r="E282" s="22"/>
      <c r="F282" s="22"/>
      <c r="G282" s="23"/>
      <c r="H282" s="24"/>
      <c r="I282" s="25"/>
      <c r="N282" s="26"/>
      <c r="O282" s="26"/>
    </row>
    <row r="283" ht="15.75" customHeight="1">
      <c r="A283" s="20"/>
      <c r="B283" s="21"/>
      <c r="C283" s="22"/>
      <c r="D283" s="22"/>
      <c r="E283" s="22"/>
      <c r="F283" s="22"/>
      <c r="G283" s="23"/>
      <c r="H283" s="24"/>
      <c r="I283" s="25"/>
      <c r="N283" s="26"/>
      <c r="O283" s="26"/>
    </row>
    <row r="284" ht="15.75" customHeight="1">
      <c r="A284" s="20"/>
      <c r="B284" s="21"/>
      <c r="C284" s="22"/>
      <c r="D284" s="22"/>
      <c r="E284" s="22"/>
      <c r="F284" s="22"/>
      <c r="G284" s="23"/>
      <c r="H284" s="24"/>
      <c r="I284" s="25"/>
      <c r="N284" s="26"/>
      <c r="O284" s="26"/>
    </row>
    <row r="285" ht="15.75" customHeight="1">
      <c r="A285" s="20"/>
      <c r="B285" s="21"/>
      <c r="C285" s="22"/>
      <c r="D285" s="22"/>
      <c r="E285" s="22"/>
      <c r="F285" s="22"/>
      <c r="G285" s="23"/>
      <c r="H285" s="24"/>
      <c r="I285" s="25"/>
      <c r="N285" s="26"/>
      <c r="O285" s="26"/>
    </row>
    <row r="286" ht="15.75" customHeight="1">
      <c r="A286" s="20"/>
      <c r="B286" s="21"/>
      <c r="C286" s="22"/>
      <c r="D286" s="22"/>
      <c r="E286" s="22"/>
      <c r="F286" s="22"/>
      <c r="G286" s="23"/>
      <c r="H286" s="24"/>
      <c r="I286" s="25"/>
      <c r="N286" s="26"/>
      <c r="O286" s="26"/>
    </row>
    <row r="287" ht="15.75" customHeight="1">
      <c r="A287" s="20"/>
      <c r="B287" s="21"/>
      <c r="C287" s="22"/>
      <c r="D287" s="22"/>
      <c r="E287" s="22"/>
      <c r="F287" s="22"/>
      <c r="G287" s="23"/>
      <c r="H287" s="24"/>
      <c r="I287" s="25"/>
      <c r="N287" s="26"/>
      <c r="O287" s="26"/>
    </row>
    <row r="288" ht="15.75" customHeight="1">
      <c r="A288" s="20"/>
      <c r="B288" s="21"/>
      <c r="C288" s="22"/>
      <c r="D288" s="22"/>
      <c r="E288" s="22"/>
      <c r="F288" s="22"/>
      <c r="G288" s="23"/>
      <c r="H288" s="24"/>
      <c r="I288" s="25"/>
      <c r="N288" s="26"/>
      <c r="O288" s="26"/>
    </row>
    <row r="289" ht="15.75" customHeight="1">
      <c r="A289" s="20"/>
      <c r="B289" s="21"/>
      <c r="C289" s="22"/>
      <c r="D289" s="22"/>
      <c r="E289" s="22"/>
      <c r="F289" s="22"/>
      <c r="G289" s="23"/>
      <c r="H289" s="24"/>
      <c r="I289" s="25"/>
      <c r="N289" s="26"/>
      <c r="O289" s="26"/>
    </row>
    <row r="290" ht="15.75" customHeight="1">
      <c r="A290" s="20"/>
      <c r="B290" s="21"/>
      <c r="C290" s="22"/>
      <c r="D290" s="22"/>
      <c r="E290" s="22"/>
      <c r="F290" s="22"/>
      <c r="G290" s="23"/>
      <c r="H290" s="24"/>
      <c r="I290" s="25"/>
      <c r="N290" s="26"/>
      <c r="O290" s="26"/>
    </row>
    <row r="291" ht="15.75" customHeight="1">
      <c r="A291" s="20"/>
      <c r="B291" s="21"/>
      <c r="C291" s="22"/>
      <c r="D291" s="22"/>
      <c r="E291" s="22"/>
      <c r="F291" s="22"/>
      <c r="G291" s="23"/>
      <c r="H291" s="24"/>
      <c r="I291" s="25"/>
      <c r="N291" s="26"/>
      <c r="O291" s="26"/>
    </row>
    <row r="292" ht="15.75" customHeight="1">
      <c r="A292" s="20"/>
      <c r="B292" s="21"/>
      <c r="C292" s="22"/>
      <c r="D292" s="22"/>
      <c r="E292" s="22"/>
      <c r="F292" s="22"/>
      <c r="G292" s="23"/>
      <c r="H292" s="24"/>
      <c r="I292" s="25"/>
      <c r="N292" s="26"/>
      <c r="O292" s="26"/>
    </row>
    <row r="293" ht="15.75" customHeight="1">
      <c r="A293" s="20"/>
      <c r="B293" s="21"/>
      <c r="C293" s="22"/>
      <c r="D293" s="22"/>
      <c r="E293" s="22"/>
      <c r="F293" s="22"/>
      <c r="G293" s="23"/>
      <c r="H293" s="24"/>
      <c r="I293" s="25"/>
      <c r="N293" s="26"/>
      <c r="O293" s="26"/>
    </row>
    <row r="294" ht="15.75" customHeight="1">
      <c r="A294" s="20"/>
      <c r="B294" s="21"/>
      <c r="C294" s="22"/>
      <c r="D294" s="22"/>
      <c r="E294" s="22"/>
      <c r="F294" s="22"/>
      <c r="G294" s="23"/>
      <c r="H294" s="24"/>
      <c r="I294" s="25"/>
      <c r="N294" s="26"/>
      <c r="O294" s="26"/>
    </row>
    <row r="295" ht="15.75" customHeight="1">
      <c r="A295" s="20"/>
      <c r="B295" s="21"/>
      <c r="C295" s="22"/>
      <c r="D295" s="22"/>
      <c r="E295" s="22"/>
      <c r="F295" s="22"/>
      <c r="G295" s="23"/>
      <c r="H295" s="24"/>
      <c r="I295" s="25"/>
      <c r="N295" s="26"/>
      <c r="O295" s="26"/>
    </row>
    <row r="296" ht="15.75" customHeight="1">
      <c r="A296" s="20"/>
      <c r="B296" s="21"/>
      <c r="C296" s="22"/>
      <c r="D296" s="22"/>
      <c r="E296" s="22"/>
      <c r="F296" s="22"/>
      <c r="G296" s="23"/>
      <c r="H296" s="24"/>
      <c r="I296" s="25"/>
      <c r="N296" s="26"/>
      <c r="O296" s="26"/>
    </row>
    <row r="297" ht="15.75" customHeight="1">
      <c r="A297" s="20"/>
      <c r="B297" s="21"/>
      <c r="C297" s="22"/>
      <c r="D297" s="22"/>
      <c r="E297" s="22"/>
      <c r="F297" s="22"/>
      <c r="G297" s="23"/>
      <c r="H297" s="24"/>
      <c r="I297" s="25"/>
      <c r="N297" s="26"/>
      <c r="O297" s="26"/>
    </row>
    <row r="298" ht="15.75" customHeight="1">
      <c r="A298" s="20"/>
      <c r="B298" s="21"/>
      <c r="C298" s="22"/>
      <c r="D298" s="22"/>
      <c r="E298" s="22"/>
      <c r="F298" s="22"/>
      <c r="G298" s="23"/>
      <c r="H298" s="24"/>
      <c r="I298" s="25"/>
      <c r="N298" s="26"/>
      <c r="O298" s="26"/>
    </row>
    <row r="299" ht="15.75" customHeight="1">
      <c r="A299" s="20"/>
      <c r="B299" s="21"/>
      <c r="C299" s="22"/>
      <c r="D299" s="22"/>
      <c r="E299" s="22"/>
      <c r="F299" s="22"/>
      <c r="G299" s="23"/>
      <c r="H299" s="24"/>
      <c r="I299" s="25"/>
      <c r="N299" s="26"/>
      <c r="O299" s="26"/>
    </row>
    <row r="300" ht="15.75" customHeight="1">
      <c r="A300" s="20"/>
      <c r="B300" s="21"/>
      <c r="C300" s="22"/>
      <c r="D300" s="22"/>
      <c r="E300" s="22"/>
      <c r="F300" s="22"/>
      <c r="G300" s="23"/>
      <c r="H300" s="24"/>
      <c r="I300" s="25"/>
      <c r="N300" s="26"/>
      <c r="O300" s="26"/>
    </row>
    <row r="301" ht="15.75" customHeight="1">
      <c r="A301" s="20"/>
      <c r="B301" s="21"/>
      <c r="C301" s="22"/>
      <c r="D301" s="22"/>
      <c r="E301" s="22"/>
      <c r="F301" s="22"/>
      <c r="G301" s="23"/>
      <c r="H301" s="24"/>
      <c r="I301" s="25"/>
      <c r="N301" s="26"/>
      <c r="O301" s="26"/>
    </row>
    <row r="302" ht="15.75" customHeight="1">
      <c r="A302" s="20"/>
      <c r="B302" s="21"/>
      <c r="C302" s="22"/>
      <c r="D302" s="22"/>
      <c r="E302" s="22"/>
      <c r="F302" s="22"/>
      <c r="G302" s="23"/>
      <c r="H302" s="24"/>
      <c r="I302" s="25"/>
      <c r="N302" s="26"/>
      <c r="O302" s="26"/>
    </row>
    <row r="303" ht="15.75" customHeight="1">
      <c r="A303" s="20"/>
      <c r="B303" s="21"/>
      <c r="C303" s="22"/>
      <c r="D303" s="22"/>
      <c r="E303" s="22"/>
      <c r="F303" s="22"/>
      <c r="G303" s="23"/>
      <c r="H303" s="24"/>
      <c r="I303" s="25"/>
      <c r="N303" s="26"/>
      <c r="O303" s="26"/>
    </row>
    <row r="304" ht="15.75" customHeight="1">
      <c r="A304" s="20"/>
      <c r="B304" s="21"/>
      <c r="C304" s="22"/>
      <c r="D304" s="22"/>
      <c r="E304" s="22"/>
      <c r="F304" s="22"/>
      <c r="G304" s="23"/>
      <c r="H304" s="24"/>
      <c r="I304" s="25"/>
      <c r="N304" s="26"/>
      <c r="O304" s="26"/>
    </row>
    <row r="305" ht="15.75" customHeight="1">
      <c r="A305" s="20"/>
      <c r="B305" s="21"/>
      <c r="C305" s="22"/>
      <c r="D305" s="22"/>
      <c r="E305" s="22"/>
      <c r="F305" s="22"/>
      <c r="G305" s="23"/>
      <c r="H305" s="24"/>
      <c r="I305" s="25"/>
      <c r="N305" s="26"/>
      <c r="O305" s="26"/>
    </row>
    <row r="306" ht="15.75" customHeight="1">
      <c r="A306" s="20"/>
      <c r="B306" s="21"/>
      <c r="C306" s="22"/>
      <c r="D306" s="22"/>
      <c r="E306" s="22"/>
      <c r="F306" s="22"/>
      <c r="G306" s="23"/>
      <c r="H306" s="24"/>
      <c r="I306" s="25"/>
      <c r="N306" s="26"/>
      <c r="O306" s="26"/>
    </row>
    <row r="307" ht="15.75" customHeight="1">
      <c r="A307" s="20"/>
      <c r="B307" s="21"/>
      <c r="C307" s="22"/>
      <c r="D307" s="22"/>
      <c r="E307" s="22"/>
      <c r="F307" s="22"/>
      <c r="G307" s="23"/>
      <c r="H307" s="24"/>
      <c r="I307" s="25"/>
      <c r="N307" s="26"/>
      <c r="O307" s="26"/>
    </row>
    <row r="308" ht="15.75" customHeight="1">
      <c r="A308" s="20"/>
      <c r="B308" s="21"/>
      <c r="C308" s="22"/>
      <c r="D308" s="22"/>
      <c r="E308" s="22"/>
      <c r="F308" s="22"/>
      <c r="G308" s="23"/>
      <c r="H308" s="24"/>
      <c r="I308" s="25"/>
      <c r="N308" s="26"/>
      <c r="O308" s="26"/>
    </row>
    <row r="309" ht="15.75" customHeight="1">
      <c r="A309" s="20"/>
      <c r="B309" s="21"/>
      <c r="C309" s="22"/>
      <c r="D309" s="22"/>
      <c r="E309" s="22"/>
      <c r="F309" s="22"/>
      <c r="G309" s="23"/>
      <c r="H309" s="24"/>
      <c r="I309" s="25"/>
      <c r="N309" s="26"/>
      <c r="O309" s="26"/>
    </row>
    <row r="310" ht="15.75" customHeight="1">
      <c r="A310" s="20"/>
      <c r="B310" s="21"/>
      <c r="C310" s="22"/>
      <c r="D310" s="22"/>
      <c r="E310" s="22"/>
      <c r="F310" s="22"/>
      <c r="G310" s="23"/>
      <c r="H310" s="24"/>
      <c r="I310" s="25"/>
      <c r="N310" s="26"/>
      <c r="O310" s="26"/>
    </row>
    <row r="311" ht="15.75" customHeight="1">
      <c r="A311" s="20"/>
      <c r="B311" s="21"/>
      <c r="C311" s="22"/>
      <c r="D311" s="22"/>
      <c r="E311" s="22"/>
      <c r="F311" s="22"/>
      <c r="G311" s="23"/>
      <c r="H311" s="24"/>
      <c r="I311" s="25"/>
      <c r="N311" s="26"/>
      <c r="O311" s="26"/>
    </row>
    <row r="312" ht="15.75" customHeight="1">
      <c r="A312" s="20"/>
      <c r="B312" s="21"/>
      <c r="C312" s="22"/>
      <c r="D312" s="22"/>
      <c r="E312" s="22"/>
      <c r="F312" s="22"/>
      <c r="G312" s="23"/>
      <c r="H312" s="24"/>
      <c r="I312" s="25"/>
      <c r="N312" s="26"/>
      <c r="O312" s="26"/>
    </row>
    <row r="313" ht="15.75" customHeight="1">
      <c r="A313" s="20"/>
      <c r="B313" s="21"/>
      <c r="C313" s="22"/>
      <c r="D313" s="22"/>
      <c r="E313" s="22"/>
      <c r="F313" s="22"/>
      <c r="G313" s="23"/>
      <c r="H313" s="24"/>
      <c r="I313" s="25"/>
      <c r="N313" s="26"/>
      <c r="O313" s="26"/>
    </row>
    <row r="314" ht="15.75" customHeight="1">
      <c r="A314" s="20"/>
      <c r="B314" s="21"/>
      <c r="C314" s="22"/>
      <c r="D314" s="22"/>
      <c r="E314" s="22"/>
      <c r="F314" s="22"/>
      <c r="G314" s="23"/>
      <c r="H314" s="24"/>
      <c r="I314" s="25"/>
      <c r="N314" s="26"/>
      <c r="O314" s="26"/>
    </row>
    <row r="315" ht="15.75" customHeight="1">
      <c r="A315" s="20"/>
      <c r="B315" s="21"/>
      <c r="C315" s="22"/>
      <c r="D315" s="22"/>
      <c r="E315" s="22"/>
      <c r="F315" s="22"/>
      <c r="G315" s="23"/>
      <c r="H315" s="24"/>
      <c r="I315" s="25"/>
      <c r="N315" s="26"/>
      <c r="O315" s="26"/>
    </row>
    <row r="316" ht="15.75" customHeight="1">
      <c r="A316" s="20"/>
      <c r="B316" s="21"/>
      <c r="C316" s="22"/>
      <c r="D316" s="22"/>
      <c r="E316" s="22"/>
      <c r="F316" s="22"/>
      <c r="G316" s="23"/>
      <c r="H316" s="24"/>
      <c r="I316" s="25"/>
      <c r="N316" s="26"/>
      <c r="O316" s="26"/>
    </row>
    <row r="317" ht="15.75" customHeight="1">
      <c r="A317" s="20"/>
      <c r="B317" s="21"/>
      <c r="C317" s="22"/>
      <c r="D317" s="22"/>
      <c r="E317" s="22"/>
      <c r="F317" s="22"/>
      <c r="G317" s="23"/>
      <c r="H317" s="24"/>
      <c r="I317" s="25"/>
      <c r="N317" s="26"/>
      <c r="O317" s="26"/>
    </row>
    <row r="318" ht="15.75" customHeight="1">
      <c r="A318" s="20"/>
      <c r="B318" s="21"/>
      <c r="C318" s="22"/>
      <c r="D318" s="22"/>
      <c r="E318" s="22"/>
      <c r="F318" s="22"/>
      <c r="G318" s="23"/>
      <c r="H318" s="24"/>
      <c r="I318" s="25"/>
      <c r="N318" s="26"/>
      <c r="O318" s="26"/>
    </row>
    <row r="319" ht="15.75" customHeight="1">
      <c r="A319" s="20"/>
      <c r="B319" s="21"/>
      <c r="C319" s="22"/>
      <c r="D319" s="22"/>
      <c r="E319" s="22"/>
      <c r="F319" s="22"/>
      <c r="G319" s="23"/>
      <c r="H319" s="24"/>
      <c r="I319" s="25"/>
      <c r="N319" s="26"/>
      <c r="O319" s="26"/>
    </row>
    <row r="320" ht="15.75" customHeight="1">
      <c r="A320" s="20"/>
      <c r="B320" s="21"/>
      <c r="C320" s="22"/>
      <c r="D320" s="22"/>
      <c r="E320" s="22"/>
      <c r="F320" s="22"/>
      <c r="G320" s="23"/>
      <c r="H320" s="24"/>
      <c r="I320" s="25"/>
      <c r="N320" s="26"/>
      <c r="O320" s="26"/>
    </row>
    <row r="321" ht="15.75" customHeight="1">
      <c r="A321" s="20"/>
      <c r="B321" s="21"/>
      <c r="C321" s="22"/>
      <c r="D321" s="22"/>
      <c r="E321" s="22"/>
      <c r="F321" s="22"/>
      <c r="G321" s="23"/>
      <c r="H321" s="24"/>
      <c r="I321" s="25"/>
      <c r="N321" s="26"/>
      <c r="O321" s="26"/>
    </row>
    <row r="322" ht="15.75" customHeight="1">
      <c r="A322" s="20"/>
      <c r="B322" s="21"/>
      <c r="C322" s="22"/>
      <c r="D322" s="22"/>
      <c r="E322" s="22"/>
      <c r="F322" s="22"/>
      <c r="G322" s="23"/>
      <c r="H322" s="24"/>
      <c r="I322" s="25"/>
      <c r="N322" s="26"/>
      <c r="O322" s="26"/>
    </row>
    <row r="323" ht="15.75" customHeight="1">
      <c r="A323" s="20"/>
      <c r="B323" s="21"/>
      <c r="C323" s="22"/>
      <c r="D323" s="22"/>
      <c r="E323" s="22"/>
      <c r="F323" s="22"/>
      <c r="G323" s="23"/>
      <c r="H323" s="24"/>
      <c r="I323" s="25"/>
      <c r="N323" s="26"/>
      <c r="O323" s="26"/>
    </row>
    <row r="324" ht="15.75" customHeight="1">
      <c r="A324" s="20"/>
      <c r="B324" s="21"/>
      <c r="C324" s="22"/>
      <c r="D324" s="22"/>
      <c r="E324" s="22"/>
      <c r="F324" s="22"/>
      <c r="G324" s="23"/>
      <c r="H324" s="24"/>
      <c r="I324" s="25"/>
      <c r="N324" s="26"/>
      <c r="O324" s="26"/>
    </row>
    <row r="325" ht="15.75" customHeight="1">
      <c r="A325" s="20"/>
      <c r="B325" s="21"/>
      <c r="C325" s="22"/>
      <c r="D325" s="22"/>
      <c r="E325" s="22"/>
      <c r="F325" s="22"/>
      <c r="G325" s="23"/>
      <c r="H325" s="24"/>
      <c r="I325" s="25"/>
      <c r="N325" s="26"/>
      <c r="O325" s="26"/>
    </row>
    <row r="326" ht="15.75" customHeight="1">
      <c r="A326" s="20"/>
      <c r="B326" s="21"/>
      <c r="C326" s="22"/>
      <c r="D326" s="22"/>
      <c r="E326" s="22"/>
      <c r="F326" s="22"/>
      <c r="G326" s="23"/>
      <c r="H326" s="24"/>
      <c r="I326" s="25"/>
      <c r="N326" s="26"/>
      <c r="O326" s="26"/>
    </row>
    <row r="327" ht="15.75" customHeight="1">
      <c r="A327" s="20"/>
      <c r="B327" s="21"/>
      <c r="C327" s="22"/>
      <c r="D327" s="22"/>
      <c r="E327" s="22"/>
      <c r="F327" s="22"/>
      <c r="G327" s="23"/>
      <c r="H327" s="24"/>
      <c r="I327" s="25"/>
      <c r="N327" s="26"/>
      <c r="O327" s="26"/>
    </row>
    <row r="328" ht="15.75" customHeight="1">
      <c r="A328" s="20"/>
      <c r="B328" s="21"/>
      <c r="C328" s="22"/>
      <c r="D328" s="22"/>
      <c r="E328" s="22"/>
      <c r="F328" s="22"/>
      <c r="G328" s="23"/>
      <c r="H328" s="24"/>
      <c r="I328" s="25"/>
      <c r="N328" s="26"/>
      <c r="O328" s="26"/>
    </row>
    <row r="329" ht="15.75" customHeight="1">
      <c r="A329" s="20"/>
      <c r="B329" s="21"/>
      <c r="C329" s="22"/>
      <c r="D329" s="22"/>
      <c r="E329" s="22"/>
      <c r="F329" s="22"/>
      <c r="G329" s="23"/>
      <c r="H329" s="24"/>
      <c r="I329" s="25"/>
      <c r="N329" s="26"/>
      <c r="O329" s="26"/>
    </row>
    <row r="330" ht="15.75" customHeight="1">
      <c r="A330" s="20"/>
      <c r="B330" s="21"/>
      <c r="C330" s="22"/>
      <c r="D330" s="22"/>
      <c r="E330" s="22"/>
      <c r="F330" s="22"/>
      <c r="G330" s="23"/>
      <c r="H330" s="24"/>
      <c r="I330" s="25"/>
      <c r="N330" s="26"/>
      <c r="O330" s="26"/>
    </row>
    <row r="331" ht="15.75" customHeight="1">
      <c r="A331" s="20"/>
      <c r="B331" s="21"/>
      <c r="C331" s="22"/>
      <c r="D331" s="22"/>
      <c r="E331" s="22"/>
      <c r="F331" s="22"/>
      <c r="G331" s="23"/>
      <c r="H331" s="24"/>
      <c r="I331" s="25"/>
      <c r="N331" s="26"/>
      <c r="O331" s="26"/>
    </row>
    <row r="332" ht="15.75" customHeight="1">
      <c r="A332" s="20"/>
      <c r="B332" s="21"/>
      <c r="C332" s="22"/>
      <c r="D332" s="22"/>
      <c r="E332" s="22"/>
      <c r="F332" s="22"/>
      <c r="G332" s="23"/>
      <c r="H332" s="24"/>
      <c r="I332" s="25"/>
      <c r="N332" s="26"/>
      <c r="O332" s="26"/>
    </row>
    <row r="333" ht="15.75" customHeight="1">
      <c r="A333" s="20"/>
      <c r="B333" s="21"/>
      <c r="C333" s="22"/>
      <c r="D333" s="22"/>
      <c r="E333" s="22"/>
      <c r="F333" s="22"/>
      <c r="G333" s="23"/>
      <c r="H333" s="24"/>
      <c r="I333" s="25"/>
      <c r="N333" s="26"/>
      <c r="O333" s="26"/>
    </row>
    <row r="334" ht="15.75" customHeight="1">
      <c r="A334" s="20"/>
      <c r="B334" s="21"/>
      <c r="C334" s="22"/>
      <c r="D334" s="22"/>
      <c r="E334" s="22"/>
      <c r="F334" s="22"/>
      <c r="G334" s="23"/>
      <c r="H334" s="24"/>
      <c r="I334" s="25"/>
      <c r="N334" s="26"/>
      <c r="O334" s="26"/>
    </row>
    <row r="335" ht="15.75" customHeight="1">
      <c r="A335" s="20"/>
      <c r="B335" s="21"/>
      <c r="C335" s="22"/>
      <c r="D335" s="22"/>
      <c r="E335" s="22"/>
      <c r="F335" s="22"/>
      <c r="G335" s="23"/>
      <c r="H335" s="24"/>
      <c r="I335" s="25"/>
      <c r="N335" s="26"/>
      <c r="O335" s="26"/>
    </row>
    <row r="336" ht="15.75" customHeight="1">
      <c r="A336" s="20"/>
      <c r="B336" s="21"/>
      <c r="C336" s="22"/>
      <c r="D336" s="22"/>
      <c r="E336" s="22"/>
      <c r="F336" s="22"/>
      <c r="G336" s="23"/>
      <c r="H336" s="24"/>
      <c r="I336" s="25"/>
      <c r="N336" s="26"/>
      <c r="O336" s="26"/>
    </row>
    <row r="337" ht="15.75" customHeight="1">
      <c r="A337" s="20"/>
      <c r="B337" s="21"/>
      <c r="C337" s="22"/>
      <c r="D337" s="22"/>
      <c r="E337" s="22"/>
      <c r="F337" s="22"/>
      <c r="G337" s="23"/>
      <c r="H337" s="24"/>
      <c r="I337" s="25"/>
      <c r="N337" s="26"/>
      <c r="O337" s="26"/>
    </row>
    <row r="338" ht="15.75" customHeight="1">
      <c r="A338" s="20"/>
      <c r="B338" s="21"/>
      <c r="C338" s="22"/>
      <c r="D338" s="22"/>
      <c r="E338" s="22"/>
      <c r="F338" s="22"/>
      <c r="G338" s="23"/>
      <c r="H338" s="24"/>
      <c r="I338" s="25"/>
      <c r="N338" s="26"/>
      <c r="O338" s="26"/>
    </row>
    <row r="339" ht="15.75" customHeight="1">
      <c r="A339" s="20"/>
      <c r="B339" s="21"/>
      <c r="C339" s="22"/>
      <c r="D339" s="22"/>
      <c r="E339" s="22"/>
      <c r="F339" s="22"/>
      <c r="G339" s="23"/>
      <c r="H339" s="24"/>
      <c r="I339" s="25"/>
      <c r="N339" s="26"/>
      <c r="O339" s="26"/>
    </row>
    <row r="340" ht="15.75" customHeight="1">
      <c r="A340" s="20"/>
      <c r="B340" s="21"/>
      <c r="C340" s="22"/>
      <c r="D340" s="22"/>
      <c r="E340" s="22"/>
      <c r="F340" s="22"/>
      <c r="G340" s="23"/>
      <c r="H340" s="24"/>
      <c r="I340" s="25"/>
      <c r="N340" s="26"/>
      <c r="O340" s="26"/>
    </row>
    <row r="341" ht="15.75" customHeight="1">
      <c r="A341" s="20"/>
      <c r="B341" s="21"/>
      <c r="C341" s="22"/>
      <c r="D341" s="22"/>
      <c r="E341" s="22"/>
      <c r="F341" s="22"/>
      <c r="G341" s="23"/>
      <c r="H341" s="24"/>
      <c r="I341" s="25"/>
      <c r="N341" s="26"/>
      <c r="O341" s="26"/>
    </row>
    <row r="342" ht="15.75" customHeight="1">
      <c r="A342" s="20"/>
      <c r="B342" s="21"/>
      <c r="C342" s="22"/>
      <c r="D342" s="22"/>
      <c r="E342" s="22"/>
      <c r="F342" s="22"/>
      <c r="G342" s="23"/>
      <c r="H342" s="24"/>
      <c r="I342" s="25"/>
      <c r="N342" s="26"/>
      <c r="O342" s="26"/>
    </row>
    <row r="343" ht="15.75" customHeight="1">
      <c r="A343" s="20"/>
      <c r="B343" s="21"/>
      <c r="C343" s="22"/>
      <c r="D343" s="22"/>
      <c r="E343" s="22"/>
      <c r="F343" s="22"/>
      <c r="G343" s="23"/>
      <c r="H343" s="24"/>
      <c r="I343" s="25"/>
      <c r="N343" s="26"/>
      <c r="O343" s="26"/>
    </row>
    <row r="344" ht="15.75" customHeight="1">
      <c r="A344" s="20"/>
      <c r="B344" s="21"/>
      <c r="C344" s="22"/>
      <c r="D344" s="22"/>
      <c r="E344" s="22"/>
      <c r="F344" s="22"/>
      <c r="G344" s="23"/>
      <c r="H344" s="24"/>
      <c r="I344" s="25"/>
      <c r="N344" s="26"/>
      <c r="O344" s="26"/>
    </row>
    <row r="345" ht="15.75" customHeight="1">
      <c r="A345" s="20"/>
      <c r="B345" s="21"/>
      <c r="C345" s="22"/>
      <c r="D345" s="22"/>
      <c r="E345" s="22"/>
      <c r="F345" s="22"/>
      <c r="G345" s="23"/>
      <c r="H345" s="24"/>
      <c r="I345" s="25"/>
      <c r="N345" s="26"/>
      <c r="O345" s="26"/>
    </row>
    <row r="346" ht="15.75" customHeight="1">
      <c r="A346" s="20"/>
      <c r="B346" s="21"/>
      <c r="C346" s="22"/>
      <c r="D346" s="22"/>
      <c r="E346" s="22"/>
      <c r="F346" s="22"/>
      <c r="G346" s="23"/>
      <c r="H346" s="24"/>
      <c r="I346" s="25"/>
      <c r="N346" s="26"/>
      <c r="O346" s="26"/>
    </row>
    <row r="347" ht="15.75" customHeight="1">
      <c r="A347" s="20"/>
      <c r="B347" s="21"/>
      <c r="C347" s="22"/>
      <c r="D347" s="22"/>
      <c r="E347" s="22"/>
      <c r="F347" s="22"/>
      <c r="G347" s="23"/>
      <c r="H347" s="24"/>
      <c r="I347" s="25"/>
      <c r="N347" s="26"/>
      <c r="O347" s="26"/>
    </row>
    <row r="348" ht="15.75" customHeight="1">
      <c r="A348" s="20"/>
      <c r="B348" s="21"/>
      <c r="C348" s="22"/>
      <c r="D348" s="22"/>
      <c r="E348" s="22"/>
      <c r="F348" s="22"/>
      <c r="G348" s="23"/>
      <c r="H348" s="24"/>
      <c r="I348" s="25"/>
      <c r="N348" s="26"/>
      <c r="O348" s="26"/>
    </row>
    <row r="349" ht="15.75" customHeight="1">
      <c r="A349" s="20"/>
      <c r="B349" s="21"/>
      <c r="C349" s="22"/>
      <c r="D349" s="22"/>
      <c r="E349" s="22"/>
      <c r="F349" s="22"/>
      <c r="G349" s="23"/>
      <c r="H349" s="24"/>
      <c r="I349" s="25"/>
      <c r="N349" s="26"/>
      <c r="O349" s="26"/>
    </row>
    <row r="350" ht="15.75" customHeight="1">
      <c r="A350" s="20"/>
      <c r="B350" s="21"/>
      <c r="C350" s="22"/>
      <c r="D350" s="22"/>
      <c r="E350" s="22"/>
      <c r="F350" s="22"/>
      <c r="G350" s="23"/>
      <c r="H350" s="24"/>
      <c r="I350" s="25"/>
      <c r="N350" s="26"/>
      <c r="O350" s="26"/>
    </row>
    <row r="351" ht="15.75" customHeight="1">
      <c r="A351" s="20"/>
      <c r="B351" s="21"/>
      <c r="C351" s="22"/>
      <c r="D351" s="22"/>
      <c r="E351" s="22"/>
      <c r="F351" s="22"/>
      <c r="G351" s="23"/>
      <c r="H351" s="24"/>
      <c r="I351" s="25"/>
      <c r="N351" s="26"/>
      <c r="O351" s="26"/>
    </row>
    <row r="352" ht="15.75" customHeight="1">
      <c r="A352" s="20"/>
      <c r="B352" s="21"/>
      <c r="C352" s="22"/>
      <c r="D352" s="22"/>
      <c r="E352" s="22"/>
      <c r="F352" s="22"/>
      <c r="G352" s="23"/>
      <c r="H352" s="24"/>
      <c r="I352" s="25"/>
      <c r="N352" s="26"/>
      <c r="O352" s="26"/>
    </row>
    <row r="353" ht="15.75" customHeight="1">
      <c r="A353" s="20"/>
      <c r="B353" s="21"/>
      <c r="C353" s="22"/>
      <c r="D353" s="22"/>
      <c r="E353" s="22"/>
      <c r="F353" s="22"/>
      <c r="G353" s="23"/>
      <c r="H353" s="24"/>
      <c r="I353" s="25"/>
      <c r="N353" s="26"/>
      <c r="O353" s="26"/>
    </row>
    <row r="354" ht="15.75" customHeight="1">
      <c r="A354" s="20"/>
      <c r="B354" s="21"/>
      <c r="C354" s="22"/>
      <c r="D354" s="22"/>
      <c r="E354" s="22"/>
      <c r="F354" s="22"/>
      <c r="G354" s="23"/>
      <c r="H354" s="24"/>
      <c r="I354" s="25"/>
      <c r="N354" s="26"/>
      <c r="O354" s="26"/>
    </row>
    <row r="355" ht="15.75" customHeight="1">
      <c r="A355" s="20"/>
      <c r="B355" s="21"/>
      <c r="C355" s="22"/>
      <c r="D355" s="22"/>
      <c r="E355" s="22"/>
      <c r="F355" s="22"/>
      <c r="G355" s="23"/>
      <c r="H355" s="24"/>
      <c r="I355" s="25"/>
      <c r="N355" s="26"/>
      <c r="O355" s="26"/>
    </row>
    <row r="356" ht="15.75" customHeight="1">
      <c r="A356" s="20"/>
      <c r="B356" s="21"/>
      <c r="C356" s="22"/>
      <c r="D356" s="22"/>
      <c r="E356" s="22"/>
      <c r="F356" s="22"/>
      <c r="G356" s="23"/>
      <c r="H356" s="24"/>
      <c r="I356" s="25"/>
      <c r="N356" s="26"/>
      <c r="O356" s="26"/>
    </row>
    <row r="357" ht="15.75" customHeight="1">
      <c r="A357" s="20"/>
      <c r="B357" s="21"/>
      <c r="C357" s="22"/>
      <c r="D357" s="22"/>
      <c r="E357" s="22"/>
      <c r="F357" s="22"/>
      <c r="G357" s="23"/>
      <c r="H357" s="24"/>
      <c r="I357" s="25"/>
      <c r="N357" s="26"/>
      <c r="O357" s="26"/>
    </row>
    <row r="358" ht="15.75" customHeight="1">
      <c r="A358" s="20"/>
      <c r="B358" s="21"/>
      <c r="C358" s="22"/>
      <c r="D358" s="22"/>
      <c r="E358" s="22"/>
      <c r="F358" s="22"/>
      <c r="G358" s="23"/>
      <c r="H358" s="24"/>
      <c r="I358" s="25"/>
      <c r="N358" s="26"/>
      <c r="O358" s="26"/>
    </row>
    <row r="359" ht="15.75" customHeight="1">
      <c r="A359" s="20"/>
      <c r="B359" s="21"/>
      <c r="C359" s="22"/>
      <c r="D359" s="22"/>
      <c r="E359" s="22"/>
      <c r="F359" s="22"/>
      <c r="G359" s="23"/>
      <c r="H359" s="24"/>
      <c r="I359" s="25"/>
      <c r="N359" s="26"/>
      <c r="O359" s="26"/>
    </row>
    <row r="360" ht="15.75" customHeight="1">
      <c r="A360" s="20"/>
      <c r="B360" s="21"/>
      <c r="C360" s="22"/>
      <c r="D360" s="22"/>
      <c r="E360" s="22"/>
      <c r="F360" s="22"/>
      <c r="G360" s="23"/>
      <c r="H360" s="24"/>
      <c r="I360" s="25"/>
      <c r="N360" s="26"/>
      <c r="O360" s="26"/>
    </row>
    <row r="361" ht="15.75" customHeight="1">
      <c r="A361" s="20"/>
      <c r="B361" s="21"/>
      <c r="C361" s="22"/>
      <c r="D361" s="22"/>
      <c r="E361" s="22"/>
      <c r="F361" s="22"/>
      <c r="G361" s="23"/>
      <c r="H361" s="24"/>
      <c r="I361" s="25"/>
      <c r="N361" s="26"/>
      <c r="O361" s="26"/>
    </row>
    <row r="362" ht="15.75" customHeight="1">
      <c r="A362" s="20"/>
      <c r="B362" s="21"/>
      <c r="C362" s="22"/>
      <c r="D362" s="22"/>
      <c r="E362" s="22"/>
      <c r="F362" s="22"/>
      <c r="G362" s="23"/>
      <c r="H362" s="24"/>
      <c r="I362" s="25"/>
      <c r="N362" s="26"/>
      <c r="O362" s="26"/>
    </row>
    <row r="363" ht="15.75" customHeight="1">
      <c r="A363" s="20"/>
      <c r="B363" s="21"/>
      <c r="C363" s="22"/>
      <c r="D363" s="22"/>
      <c r="E363" s="22"/>
      <c r="F363" s="22"/>
      <c r="G363" s="23"/>
      <c r="H363" s="24"/>
      <c r="I363" s="25"/>
      <c r="N363" s="26"/>
      <c r="O363" s="26"/>
    </row>
    <row r="364" ht="15.75" customHeight="1">
      <c r="A364" s="20"/>
      <c r="B364" s="21"/>
      <c r="C364" s="22"/>
      <c r="D364" s="22"/>
      <c r="E364" s="22"/>
      <c r="F364" s="22"/>
      <c r="G364" s="23"/>
      <c r="H364" s="24"/>
      <c r="I364" s="25"/>
      <c r="N364" s="26"/>
      <c r="O364" s="26"/>
    </row>
    <row r="365" ht="15.75" customHeight="1">
      <c r="A365" s="20"/>
      <c r="B365" s="21"/>
      <c r="C365" s="22"/>
      <c r="D365" s="22"/>
      <c r="E365" s="22"/>
      <c r="F365" s="22"/>
      <c r="G365" s="23"/>
      <c r="H365" s="24"/>
      <c r="I365" s="25"/>
      <c r="N365" s="26"/>
      <c r="O365" s="26"/>
    </row>
    <row r="366" ht="15.75" customHeight="1">
      <c r="A366" s="20"/>
      <c r="B366" s="21"/>
      <c r="C366" s="22"/>
      <c r="D366" s="22"/>
      <c r="E366" s="22"/>
      <c r="F366" s="22"/>
      <c r="G366" s="23"/>
      <c r="H366" s="24"/>
      <c r="I366" s="25"/>
      <c r="N366" s="26"/>
      <c r="O366" s="26"/>
    </row>
    <row r="367" ht="15.75" customHeight="1">
      <c r="A367" s="20"/>
      <c r="B367" s="21"/>
      <c r="C367" s="22"/>
      <c r="D367" s="22"/>
      <c r="E367" s="22"/>
      <c r="F367" s="22"/>
      <c r="G367" s="23"/>
      <c r="H367" s="24"/>
      <c r="I367" s="25"/>
      <c r="N367" s="26"/>
      <c r="O367" s="26"/>
    </row>
    <row r="368" ht="15.75" customHeight="1">
      <c r="A368" s="20"/>
      <c r="B368" s="21"/>
      <c r="C368" s="22"/>
      <c r="D368" s="22"/>
      <c r="E368" s="22"/>
      <c r="F368" s="22"/>
      <c r="G368" s="23"/>
      <c r="H368" s="24"/>
      <c r="I368" s="25"/>
      <c r="N368" s="26"/>
      <c r="O368" s="26"/>
    </row>
    <row r="369" ht="15.75" customHeight="1">
      <c r="A369" s="20"/>
      <c r="B369" s="21"/>
      <c r="C369" s="22"/>
      <c r="D369" s="22"/>
      <c r="E369" s="22"/>
      <c r="F369" s="22"/>
      <c r="G369" s="23"/>
      <c r="H369" s="24"/>
      <c r="I369" s="25"/>
      <c r="N369" s="26"/>
      <c r="O369" s="26"/>
    </row>
    <row r="370" ht="15.75" customHeight="1">
      <c r="A370" s="20"/>
      <c r="B370" s="21"/>
      <c r="C370" s="22"/>
      <c r="D370" s="22"/>
      <c r="E370" s="22"/>
      <c r="F370" s="22"/>
      <c r="G370" s="23"/>
      <c r="H370" s="24"/>
      <c r="I370" s="25"/>
      <c r="N370" s="26"/>
      <c r="O370" s="26"/>
    </row>
    <row r="371" ht="15.75" customHeight="1">
      <c r="A371" s="20"/>
      <c r="B371" s="21"/>
      <c r="C371" s="22"/>
      <c r="D371" s="22"/>
      <c r="E371" s="22"/>
      <c r="F371" s="22"/>
      <c r="G371" s="23"/>
      <c r="H371" s="24"/>
      <c r="I371" s="25"/>
      <c r="N371" s="26"/>
      <c r="O371" s="26"/>
    </row>
    <row r="372" ht="15.75" customHeight="1">
      <c r="A372" s="20"/>
      <c r="B372" s="21"/>
      <c r="C372" s="22"/>
      <c r="D372" s="22"/>
      <c r="E372" s="22"/>
      <c r="F372" s="22"/>
      <c r="G372" s="23"/>
      <c r="H372" s="24"/>
      <c r="I372" s="25"/>
      <c r="N372" s="26"/>
      <c r="O372" s="26"/>
    </row>
    <row r="373" ht="15.75" customHeight="1">
      <c r="A373" s="20"/>
      <c r="B373" s="21"/>
      <c r="C373" s="22"/>
      <c r="D373" s="22"/>
      <c r="E373" s="22"/>
      <c r="F373" s="22"/>
      <c r="G373" s="23"/>
      <c r="H373" s="24"/>
      <c r="I373" s="25"/>
      <c r="N373" s="26"/>
      <c r="O373" s="26"/>
    </row>
    <row r="374" ht="15.75" customHeight="1">
      <c r="A374" s="20"/>
      <c r="B374" s="21"/>
      <c r="C374" s="22"/>
      <c r="D374" s="22"/>
      <c r="E374" s="22"/>
      <c r="F374" s="22"/>
      <c r="G374" s="23"/>
      <c r="H374" s="24"/>
      <c r="I374" s="25"/>
      <c r="N374" s="26"/>
      <c r="O374" s="26"/>
    </row>
    <row r="375" ht="15.75" customHeight="1">
      <c r="A375" s="20"/>
      <c r="B375" s="21"/>
      <c r="C375" s="22"/>
      <c r="D375" s="22"/>
      <c r="E375" s="22"/>
      <c r="F375" s="22"/>
      <c r="G375" s="23"/>
      <c r="H375" s="24"/>
      <c r="I375" s="25"/>
      <c r="N375" s="26"/>
      <c r="O375" s="26"/>
    </row>
    <row r="376" ht="15.75" customHeight="1">
      <c r="A376" s="20"/>
      <c r="B376" s="21"/>
      <c r="C376" s="22"/>
      <c r="D376" s="22"/>
      <c r="E376" s="22"/>
      <c r="F376" s="22"/>
      <c r="G376" s="23"/>
      <c r="H376" s="24"/>
      <c r="I376" s="25"/>
      <c r="N376" s="26"/>
      <c r="O376" s="26"/>
    </row>
    <row r="377" ht="15.75" customHeight="1">
      <c r="A377" s="20"/>
      <c r="B377" s="21"/>
      <c r="C377" s="22"/>
      <c r="D377" s="22"/>
      <c r="E377" s="22"/>
      <c r="F377" s="22"/>
      <c r="G377" s="23"/>
      <c r="H377" s="24"/>
      <c r="I377" s="25"/>
      <c r="N377" s="26"/>
      <c r="O377" s="26"/>
    </row>
    <row r="378" ht="15.75" customHeight="1">
      <c r="A378" s="20"/>
      <c r="B378" s="21"/>
      <c r="C378" s="22"/>
      <c r="D378" s="22"/>
      <c r="E378" s="22"/>
      <c r="F378" s="22"/>
      <c r="G378" s="23"/>
      <c r="H378" s="24"/>
      <c r="I378" s="25"/>
      <c r="N378" s="26"/>
      <c r="O378" s="26"/>
    </row>
    <row r="379" ht="15.75" customHeight="1">
      <c r="A379" s="20"/>
      <c r="B379" s="21"/>
      <c r="C379" s="22"/>
      <c r="D379" s="22"/>
      <c r="E379" s="22"/>
      <c r="F379" s="22"/>
      <c r="G379" s="23"/>
      <c r="H379" s="24"/>
      <c r="I379" s="25"/>
      <c r="N379" s="26"/>
      <c r="O379" s="26"/>
    </row>
    <row r="380" ht="15.75" customHeight="1">
      <c r="A380" s="20"/>
      <c r="B380" s="21"/>
      <c r="C380" s="22"/>
      <c r="D380" s="22"/>
      <c r="E380" s="22"/>
      <c r="F380" s="22"/>
      <c r="G380" s="23"/>
      <c r="H380" s="24"/>
      <c r="I380" s="25"/>
      <c r="N380" s="26"/>
      <c r="O380" s="26"/>
    </row>
    <row r="381" ht="15.75" customHeight="1">
      <c r="A381" s="20"/>
      <c r="B381" s="21"/>
      <c r="C381" s="22"/>
      <c r="D381" s="22"/>
      <c r="E381" s="22"/>
      <c r="F381" s="22"/>
      <c r="G381" s="23"/>
      <c r="H381" s="24"/>
      <c r="I381" s="25"/>
      <c r="N381" s="26"/>
      <c r="O381" s="26"/>
    </row>
    <row r="382" ht="15.75" customHeight="1">
      <c r="A382" s="20"/>
      <c r="B382" s="21"/>
      <c r="C382" s="22"/>
      <c r="D382" s="22"/>
      <c r="E382" s="22"/>
      <c r="F382" s="22"/>
      <c r="G382" s="23"/>
      <c r="H382" s="24"/>
      <c r="I382" s="25"/>
      <c r="N382" s="26"/>
      <c r="O382" s="26"/>
    </row>
    <row r="383" ht="15.75" customHeight="1">
      <c r="A383" s="20"/>
      <c r="B383" s="21"/>
      <c r="C383" s="22"/>
      <c r="D383" s="22"/>
      <c r="E383" s="22"/>
      <c r="F383" s="22"/>
      <c r="G383" s="23"/>
      <c r="H383" s="24"/>
      <c r="I383" s="25"/>
      <c r="N383" s="26"/>
      <c r="O383" s="26"/>
    </row>
    <row r="384" ht="15.75" customHeight="1">
      <c r="A384" s="20"/>
      <c r="B384" s="21"/>
      <c r="C384" s="22"/>
      <c r="D384" s="22"/>
      <c r="E384" s="22"/>
      <c r="F384" s="22"/>
      <c r="G384" s="23"/>
      <c r="H384" s="24"/>
      <c r="I384" s="25"/>
      <c r="N384" s="26"/>
      <c r="O384" s="26"/>
    </row>
    <row r="385" ht="15.75" customHeight="1">
      <c r="A385" s="20"/>
      <c r="B385" s="21"/>
      <c r="C385" s="22"/>
      <c r="D385" s="22"/>
      <c r="E385" s="22"/>
      <c r="F385" s="22"/>
      <c r="G385" s="23"/>
      <c r="H385" s="24"/>
      <c r="I385" s="25"/>
      <c r="N385" s="26"/>
      <c r="O385" s="26"/>
    </row>
    <row r="386" ht="15.75" customHeight="1">
      <c r="A386" s="20"/>
      <c r="B386" s="21"/>
      <c r="C386" s="22"/>
      <c r="D386" s="22"/>
      <c r="E386" s="22"/>
      <c r="F386" s="22"/>
      <c r="G386" s="23"/>
      <c r="H386" s="24"/>
      <c r="I386" s="25"/>
      <c r="N386" s="26"/>
      <c r="O386" s="26"/>
    </row>
    <row r="387" ht="15.75" customHeight="1">
      <c r="A387" s="20"/>
      <c r="B387" s="21"/>
      <c r="C387" s="22"/>
      <c r="D387" s="22"/>
      <c r="E387" s="22"/>
      <c r="F387" s="22"/>
      <c r="G387" s="23"/>
      <c r="H387" s="24"/>
      <c r="I387" s="25"/>
      <c r="N387" s="26"/>
      <c r="O387" s="26"/>
    </row>
    <row r="388" ht="15.75" customHeight="1">
      <c r="A388" s="20"/>
      <c r="B388" s="21"/>
      <c r="C388" s="22"/>
      <c r="D388" s="22"/>
      <c r="E388" s="22"/>
      <c r="F388" s="22"/>
      <c r="G388" s="23"/>
      <c r="H388" s="24"/>
      <c r="I388" s="25"/>
      <c r="N388" s="26"/>
      <c r="O388" s="26"/>
    </row>
    <row r="389" ht="15.75" customHeight="1">
      <c r="A389" s="20"/>
      <c r="B389" s="21"/>
      <c r="C389" s="22"/>
      <c r="D389" s="22"/>
      <c r="E389" s="22"/>
      <c r="F389" s="22"/>
      <c r="G389" s="23"/>
      <c r="H389" s="24"/>
      <c r="I389" s="25"/>
      <c r="N389" s="26"/>
      <c r="O389" s="26"/>
    </row>
    <row r="390" ht="15.75" customHeight="1">
      <c r="A390" s="20"/>
      <c r="B390" s="21"/>
      <c r="C390" s="22"/>
      <c r="D390" s="22"/>
      <c r="E390" s="22"/>
      <c r="F390" s="22"/>
      <c r="G390" s="23"/>
      <c r="H390" s="24"/>
      <c r="I390" s="25"/>
      <c r="N390" s="26"/>
      <c r="O390" s="26"/>
    </row>
    <row r="391" ht="15.75" customHeight="1">
      <c r="A391" s="20"/>
      <c r="B391" s="21"/>
      <c r="C391" s="22"/>
      <c r="D391" s="22"/>
      <c r="E391" s="22"/>
      <c r="F391" s="22"/>
      <c r="G391" s="23"/>
      <c r="H391" s="24"/>
      <c r="I391" s="25"/>
      <c r="N391" s="26"/>
      <c r="O391" s="26"/>
    </row>
    <row r="392" ht="15.75" customHeight="1">
      <c r="A392" s="20"/>
      <c r="B392" s="21"/>
      <c r="C392" s="22"/>
      <c r="D392" s="22"/>
      <c r="E392" s="22"/>
      <c r="F392" s="22"/>
      <c r="G392" s="23"/>
      <c r="H392" s="24"/>
      <c r="I392" s="25"/>
      <c r="N392" s="26"/>
      <c r="O392" s="26"/>
    </row>
    <row r="393" ht="15.75" customHeight="1">
      <c r="A393" s="20"/>
      <c r="B393" s="21"/>
      <c r="C393" s="22"/>
      <c r="D393" s="22"/>
      <c r="E393" s="22"/>
      <c r="F393" s="22"/>
      <c r="G393" s="23"/>
      <c r="H393" s="24"/>
      <c r="I393" s="25"/>
      <c r="N393" s="26"/>
      <c r="O393" s="26"/>
    </row>
    <row r="394" ht="15.75" customHeight="1">
      <c r="A394" s="20"/>
      <c r="B394" s="21"/>
      <c r="C394" s="22"/>
      <c r="D394" s="22"/>
      <c r="E394" s="22"/>
      <c r="F394" s="22"/>
      <c r="G394" s="23"/>
      <c r="H394" s="24"/>
      <c r="I394" s="25"/>
      <c r="N394" s="26"/>
      <c r="O394" s="26"/>
    </row>
    <row r="395" ht="15.75" customHeight="1">
      <c r="A395" s="20"/>
      <c r="B395" s="21"/>
      <c r="C395" s="22"/>
      <c r="D395" s="22"/>
      <c r="E395" s="22"/>
      <c r="F395" s="22"/>
      <c r="G395" s="23"/>
      <c r="H395" s="24"/>
      <c r="I395" s="25"/>
      <c r="N395" s="26"/>
      <c r="O395" s="26"/>
    </row>
    <row r="396" ht="15.75" customHeight="1">
      <c r="A396" s="20"/>
      <c r="B396" s="21"/>
      <c r="C396" s="22"/>
      <c r="D396" s="22"/>
      <c r="E396" s="22"/>
      <c r="F396" s="22"/>
      <c r="G396" s="23"/>
      <c r="H396" s="24"/>
      <c r="I396" s="25"/>
      <c r="N396" s="26"/>
      <c r="O396" s="26"/>
    </row>
    <row r="397" ht="15.75" customHeight="1">
      <c r="A397" s="20"/>
      <c r="B397" s="21"/>
      <c r="C397" s="22"/>
      <c r="D397" s="22"/>
      <c r="E397" s="22"/>
      <c r="F397" s="22"/>
      <c r="G397" s="23"/>
      <c r="H397" s="24"/>
      <c r="I397" s="25"/>
      <c r="N397" s="26"/>
      <c r="O397" s="26"/>
    </row>
    <row r="398" ht="15.75" customHeight="1">
      <c r="A398" s="20"/>
      <c r="B398" s="21"/>
      <c r="C398" s="22"/>
      <c r="D398" s="22"/>
      <c r="E398" s="22"/>
      <c r="F398" s="22"/>
      <c r="G398" s="23"/>
      <c r="H398" s="24"/>
      <c r="I398" s="25"/>
      <c r="N398" s="26"/>
      <c r="O398" s="26"/>
    </row>
    <row r="399" ht="15.75" customHeight="1">
      <c r="A399" s="20"/>
      <c r="B399" s="21"/>
      <c r="C399" s="22"/>
      <c r="D399" s="22"/>
      <c r="E399" s="22"/>
      <c r="F399" s="22"/>
      <c r="G399" s="23"/>
      <c r="H399" s="24"/>
      <c r="I399" s="25"/>
      <c r="N399" s="26"/>
      <c r="O399" s="26"/>
    </row>
    <row r="400" ht="15.75" customHeight="1">
      <c r="A400" s="20"/>
      <c r="B400" s="21"/>
      <c r="C400" s="22"/>
      <c r="D400" s="22"/>
      <c r="E400" s="22"/>
      <c r="F400" s="22"/>
      <c r="G400" s="23"/>
      <c r="H400" s="24"/>
      <c r="I400" s="25"/>
      <c r="N400" s="26"/>
      <c r="O400" s="26"/>
    </row>
    <row r="401" ht="15.75" customHeight="1">
      <c r="A401" s="20"/>
      <c r="B401" s="21"/>
      <c r="C401" s="22"/>
      <c r="D401" s="22"/>
      <c r="E401" s="22"/>
      <c r="F401" s="22"/>
      <c r="G401" s="23"/>
      <c r="H401" s="24"/>
      <c r="I401" s="25"/>
      <c r="N401" s="26"/>
      <c r="O401" s="26"/>
    </row>
    <row r="402" ht="15.75" customHeight="1">
      <c r="A402" s="20"/>
      <c r="B402" s="21"/>
      <c r="C402" s="22"/>
      <c r="D402" s="22"/>
      <c r="E402" s="22"/>
      <c r="F402" s="22"/>
      <c r="G402" s="23"/>
      <c r="H402" s="24"/>
      <c r="I402" s="25"/>
      <c r="N402" s="26"/>
      <c r="O402" s="26"/>
    </row>
    <row r="403" ht="15.75" customHeight="1">
      <c r="A403" s="20"/>
      <c r="B403" s="21"/>
      <c r="C403" s="22"/>
      <c r="D403" s="22"/>
      <c r="E403" s="22"/>
      <c r="F403" s="22"/>
      <c r="G403" s="23"/>
      <c r="H403" s="24"/>
      <c r="I403" s="25"/>
      <c r="N403" s="26"/>
      <c r="O403" s="26"/>
    </row>
    <row r="404" ht="15.75" customHeight="1">
      <c r="A404" s="20"/>
      <c r="B404" s="21"/>
      <c r="C404" s="22"/>
      <c r="D404" s="22"/>
      <c r="E404" s="22"/>
      <c r="F404" s="22"/>
      <c r="G404" s="23"/>
      <c r="H404" s="24"/>
      <c r="I404" s="25"/>
      <c r="N404" s="26"/>
      <c r="O404" s="26"/>
    </row>
    <row r="405" ht="15.75" customHeight="1">
      <c r="A405" s="20"/>
      <c r="B405" s="21"/>
      <c r="C405" s="22"/>
      <c r="D405" s="22"/>
      <c r="E405" s="22"/>
      <c r="F405" s="22"/>
      <c r="G405" s="23"/>
      <c r="H405" s="24"/>
      <c r="I405" s="25"/>
      <c r="N405" s="26"/>
      <c r="O405" s="26"/>
    </row>
    <row r="406" ht="15.75" customHeight="1">
      <c r="A406" s="20"/>
      <c r="B406" s="21"/>
      <c r="C406" s="22"/>
      <c r="D406" s="22"/>
      <c r="E406" s="22"/>
      <c r="F406" s="22"/>
      <c r="G406" s="23"/>
      <c r="H406" s="24"/>
      <c r="I406" s="25"/>
      <c r="N406" s="26"/>
      <c r="O406" s="26"/>
    </row>
    <row r="407" ht="15.75" customHeight="1">
      <c r="A407" s="20"/>
      <c r="B407" s="21"/>
      <c r="C407" s="22"/>
      <c r="D407" s="22"/>
      <c r="E407" s="22"/>
      <c r="F407" s="22"/>
      <c r="G407" s="23"/>
      <c r="H407" s="24"/>
      <c r="I407" s="25"/>
      <c r="N407" s="26"/>
      <c r="O407" s="26"/>
    </row>
    <row r="408" ht="15.75" customHeight="1">
      <c r="A408" s="20"/>
      <c r="B408" s="21"/>
      <c r="C408" s="22"/>
      <c r="D408" s="22"/>
      <c r="E408" s="22"/>
      <c r="F408" s="22"/>
      <c r="G408" s="23"/>
      <c r="H408" s="24"/>
      <c r="I408" s="25"/>
      <c r="N408" s="26"/>
      <c r="O408" s="26"/>
    </row>
    <row r="409" ht="15.75" customHeight="1">
      <c r="A409" s="20"/>
      <c r="B409" s="21"/>
      <c r="C409" s="22"/>
      <c r="D409" s="22"/>
      <c r="E409" s="22"/>
      <c r="F409" s="22"/>
      <c r="G409" s="23"/>
      <c r="H409" s="24"/>
      <c r="I409" s="25"/>
      <c r="N409" s="26"/>
      <c r="O409" s="26"/>
    </row>
    <row r="410" ht="15.75" customHeight="1">
      <c r="A410" s="20"/>
      <c r="B410" s="21"/>
      <c r="C410" s="22"/>
      <c r="D410" s="22"/>
      <c r="E410" s="22"/>
      <c r="F410" s="22"/>
      <c r="G410" s="23"/>
      <c r="H410" s="24"/>
      <c r="I410" s="25"/>
      <c r="N410" s="26"/>
      <c r="O410" s="26"/>
    </row>
    <row r="411" ht="15.75" customHeight="1">
      <c r="A411" s="20"/>
      <c r="B411" s="21"/>
      <c r="C411" s="22"/>
      <c r="D411" s="22"/>
      <c r="E411" s="22"/>
      <c r="F411" s="22"/>
      <c r="G411" s="23"/>
      <c r="H411" s="24"/>
      <c r="I411" s="25"/>
      <c r="N411" s="26"/>
      <c r="O411" s="26"/>
    </row>
    <row r="412" ht="15.75" customHeight="1">
      <c r="A412" s="20"/>
      <c r="B412" s="21"/>
      <c r="C412" s="22"/>
      <c r="D412" s="22"/>
      <c r="E412" s="22"/>
      <c r="F412" s="22"/>
      <c r="G412" s="23"/>
      <c r="H412" s="24"/>
      <c r="I412" s="25"/>
      <c r="N412" s="26"/>
      <c r="O412" s="26"/>
    </row>
    <row r="413" ht="15.75" customHeight="1">
      <c r="A413" s="20"/>
      <c r="B413" s="21"/>
      <c r="C413" s="22"/>
      <c r="D413" s="22"/>
      <c r="E413" s="22"/>
      <c r="F413" s="22"/>
      <c r="G413" s="23"/>
      <c r="H413" s="24"/>
      <c r="I413" s="25"/>
      <c r="N413" s="26"/>
      <c r="O413" s="26"/>
    </row>
    <row r="414" ht="15.75" customHeight="1">
      <c r="A414" s="20"/>
      <c r="B414" s="21"/>
      <c r="C414" s="22"/>
      <c r="D414" s="22"/>
      <c r="E414" s="22"/>
      <c r="F414" s="22"/>
      <c r="G414" s="23"/>
      <c r="H414" s="24"/>
      <c r="I414" s="25"/>
      <c r="N414" s="26"/>
      <c r="O414" s="26"/>
    </row>
    <row r="415" ht="15.75" customHeight="1">
      <c r="A415" s="20"/>
      <c r="B415" s="21"/>
      <c r="C415" s="22"/>
      <c r="D415" s="22"/>
      <c r="E415" s="22"/>
      <c r="F415" s="22"/>
      <c r="G415" s="23"/>
      <c r="H415" s="24"/>
      <c r="I415" s="25"/>
      <c r="N415" s="26"/>
      <c r="O415" s="26"/>
    </row>
    <row r="416" ht="15.75" customHeight="1">
      <c r="A416" s="20"/>
      <c r="B416" s="21"/>
      <c r="C416" s="22"/>
      <c r="D416" s="22"/>
      <c r="E416" s="22"/>
      <c r="F416" s="22"/>
      <c r="G416" s="23"/>
      <c r="H416" s="24"/>
      <c r="I416" s="25"/>
      <c r="N416" s="26"/>
      <c r="O416" s="26"/>
    </row>
    <row r="417" ht="15.75" customHeight="1">
      <c r="A417" s="20"/>
      <c r="B417" s="21"/>
      <c r="C417" s="22"/>
      <c r="D417" s="22"/>
      <c r="E417" s="22"/>
      <c r="F417" s="22"/>
      <c r="G417" s="23"/>
      <c r="H417" s="24"/>
      <c r="I417" s="25"/>
      <c r="N417" s="26"/>
      <c r="O417" s="26"/>
    </row>
    <row r="418" ht="15.75" customHeight="1">
      <c r="A418" s="20"/>
      <c r="B418" s="21"/>
      <c r="C418" s="22"/>
      <c r="D418" s="22"/>
      <c r="E418" s="22"/>
      <c r="F418" s="22"/>
      <c r="G418" s="23"/>
      <c r="H418" s="24"/>
      <c r="I418" s="25"/>
      <c r="N418" s="26"/>
      <c r="O418" s="26"/>
    </row>
    <row r="419" ht="15.75" customHeight="1">
      <c r="A419" s="20"/>
      <c r="B419" s="21"/>
      <c r="C419" s="22"/>
      <c r="D419" s="22"/>
      <c r="E419" s="22"/>
      <c r="F419" s="22"/>
      <c r="G419" s="23"/>
      <c r="H419" s="24"/>
      <c r="I419" s="25"/>
      <c r="N419" s="26"/>
      <c r="O419" s="26"/>
    </row>
    <row r="420" ht="15.75" customHeight="1">
      <c r="A420" s="20"/>
      <c r="B420" s="21"/>
      <c r="C420" s="22"/>
      <c r="D420" s="22"/>
      <c r="E420" s="22"/>
      <c r="F420" s="22"/>
      <c r="G420" s="23"/>
      <c r="H420" s="24"/>
      <c r="I420" s="25"/>
      <c r="N420" s="26"/>
      <c r="O420" s="26"/>
    </row>
    <row r="421" ht="15.75" customHeight="1">
      <c r="A421" s="20"/>
      <c r="B421" s="21"/>
      <c r="C421" s="22"/>
      <c r="D421" s="22"/>
      <c r="E421" s="22"/>
      <c r="F421" s="22"/>
      <c r="G421" s="23"/>
      <c r="H421" s="24"/>
      <c r="I421" s="25"/>
      <c r="N421" s="26"/>
      <c r="O421" s="26"/>
    </row>
    <row r="422" ht="15.75" customHeight="1">
      <c r="A422" s="20"/>
      <c r="B422" s="21"/>
      <c r="C422" s="22"/>
      <c r="D422" s="22"/>
      <c r="E422" s="22"/>
      <c r="F422" s="22"/>
      <c r="G422" s="23"/>
      <c r="H422" s="24"/>
      <c r="I422" s="25"/>
      <c r="N422" s="26"/>
      <c r="O422" s="26"/>
    </row>
    <row r="423" ht="15.75" customHeight="1">
      <c r="A423" s="20"/>
      <c r="B423" s="21"/>
      <c r="C423" s="22"/>
      <c r="D423" s="22"/>
      <c r="E423" s="22"/>
      <c r="F423" s="22"/>
      <c r="G423" s="23"/>
      <c r="H423" s="24"/>
      <c r="I423" s="25"/>
      <c r="N423" s="26"/>
      <c r="O423" s="26"/>
    </row>
    <row r="424" ht="15.75" customHeight="1">
      <c r="A424" s="20"/>
      <c r="B424" s="21"/>
      <c r="C424" s="22"/>
      <c r="D424" s="22"/>
      <c r="E424" s="22"/>
      <c r="F424" s="22"/>
      <c r="G424" s="23"/>
      <c r="H424" s="24"/>
      <c r="I424" s="25"/>
      <c r="N424" s="26"/>
      <c r="O424" s="26"/>
    </row>
    <row r="425" ht="15.75" customHeight="1">
      <c r="A425" s="20"/>
      <c r="B425" s="21"/>
      <c r="C425" s="22"/>
      <c r="D425" s="22"/>
      <c r="E425" s="22"/>
      <c r="F425" s="22"/>
      <c r="G425" s="23"/>
      <c r="H425" s="24"/>
      <c r="I425" s="25"/>
      <c r="N425" s="26"/>
      <c r="O425" s="26"/>
    </row>
    <row r="426" ht="15.75" customHeight="1">
      <c r="A426" s="20"/>
      <c r="B426" s="21"/>
      <c r="C426" s="22"/>
      <c r="D426" s="22"/>
      <c r="E426" s="22"/>
      <c r="F426" s="22"/>
      <c r="G426" s="23"/>
      <c r="H426" s="24"/>
      <c r="I426" s="25"/>
      <c r="N426" s="26"/>
      <c r="O426" s="26"/>
    </row>
    <row r="427" ht="15.75" customHeight="1">
      <c r="A427" s="20"/>
      <c r="B427" s="21"/>
      <c r="C427" s="22"/>
      <c r="D427" s="22"/>
      <c r="E427" s="22"/>
      <c r="F427" s="22"/>
      <c r="G427" s="23"/>
      <c r="H427" s="24"/>
      <c r="I427" s="25"/>
      <c r="N427" s="26"/>
      <c r="O427" s="26"/>
    </row>
    <row r="428" ht="15.75" customHeight="1">
      <c r="A428" s="20"/>
      <c r="B428" s="21"/>
      <c r="C428" s="22"/>
      <c r="D428" s="22"/>
      <c r="E428" s="22"/>
      <c r="F428" s="22"/>
      <c r="G428" s="23"/>
      <c r="H428" s="24"/>
      <c r="I428" s="25"/>
      <c r="N428" s="26"/>
      <c r="O428" s="26"/>
    </row>
    <row r="429" ht="15.75" customHeight="1">
      <c r="A429" s="20"/>
      <c r="B429" s="21"/>
      <c r="C429" s="22"/>
      <c r="D429" s="22"/>
      <c r="E429" s="22"/>
      <c r="F429" s="22"/>
      <c r="G429" s="23"/>
      <c r="H429" s="24"/>
      <c r="I429" s="25"/>
      <c r="N429" s="26"/>
      <c r="O429" s="26"/>
    </row>
    <row r="430" ht="15.75" customHeight="1">
      <c r="A430" s="20"/>
      <c r="B430" s="21"/>
      <c r="C430" s="22"/>
      <c r="D430" s="22"/>
      <c r="E430" s="22"/>
      <c r="F430" s="22"/>
      <c r="G430" s="23"/>
      <c r="H430" s="24"/>
      <c r="I430" s="25"/>
      <c r="N430" s="26"/>
      <c r="O430" s="26"/>
    </row>
    <row r="431" ht="15.75" customHeight="1">
      <c r="A431" s="20"/>
      <c r="B431" s="21"/>
      <c r="C431" s="22"/>
      <c r="D431" s="22"/>
      <c r="E431" s="22"/>
      <c r="F431" s="22"/>
      <c r="G431" s="23"/>
      <c r="H431" s="24"/>
      <c r="I431" s="25"/>
      <c r="N431" s="26"/>
      <c r="O431" s="26"/>
    </row>
    <row r="432" ht="15.75" customHeight="1">
      <c r="A432" s="20"/>
      <c r="B432" s="21"/>
      <c r="C432" s="22"/>
      <c r="D432" s="22"/>
      <c r="E432" s="22"/>
      <c r="F432" s="22"/>
      <c r="G432" s="23"/>
      <c r="H432" s="24"/>
      <c r="I432" s="25"/>
      <c r="N432" s="26"/>
      <c r="O432" s="26"/>
    </row>
    <row r="433" ht="15.75" customHeight="1">
      <c r="A433" s="20"/>
      <c r="B433" s="21"/>
      <c r="C433" s="22"/>
      <c r="D433" s="22"/>
      <c r="E433" s="22"/>
      <c r="F433" s="22"/>
      <c r="G433" s="23"/>
      <c r="H433" s="24"/>
      <c r="I433" s="25"/>
      <c r="N433" s="26"/>
      <c r="O433" s="26"/>
    </row>
    <row r="434" ht="15.75" customHeight="1">
      <c r="A434" s="20"/>
      <c r="B434" s="21"/>
      <c r="C434" s="22"/>
      <c r="D434" s="22"/>
      <c r="E434" s="22"/>
      <c r="F434" s="22"/>
      <c r="G434" s="23"/>
      <c r="H434" s="24"/>
      <c r="I434" s="25"/>
      <c r="N434" s="26"/>
      <c r="O434" s="26"/>
    </row>
    <row r="435" ht="15.75" customHeight="1">
      <c r="A435" s="20"/>
      <c r="B435" s="21"/>
      <c r="C435" s="22"/>
      <c r="D435" s="22"/>
      <c r="E435" s="22"/>
      <c r="F435" s="22"/>
      <c r="G435" s="23"/>
      <c r="H435" s="24"/>
      <c r="I435" s="25"/>
      <c r="N435" s="26"/>
      <c r="O435" s="26"/>
    </row>
    <row r="436" ht="15.75" customHeight="1">
      <c r="A436" s="20"/>
      <c r="B436" s="21"/>
      <c r="C436" s="22"/>
      <c r="D436" s="22"/>
      <c r="E436" s="22"/>
      <c r="F436" s="22"/>
      <c r="G436" s="23"/>
      <c r="H436" s="24"/>
      <c r="I436" s="25"/>
      <c r="N436" s="26"/>
      <c r="O436" s="26"/>
    </row>
    <row r="437" ht="15.75" customHeight="1">
      <c r="A437" s="20"/>
      <c r="B437" s="21"/>
      <c r="C437" s="22"/>
      <c r="D437" s="22"/>
      <c r="E437" s="22"/>
      <c r="F437" s="22"/>
      <c r="G437" s="23"/>
      <c r="H437" s="24"/>
      <c r="I437" s="25"/>
      <c r="N437" s="26"/>
      <c r="O437" s="26"/>
    </row>
    <row r="438" ht="15.75" customHeight="1">
      <c r="A438" s="20"/>
      <c r="B438" s="21"/>
      <c r="C438" s="22"/>
      <c r="D438" s="22"/>
      <c r="E438" s="22"/>
      <c r="F438" s="22"/>
      <c r="G438" s="23"/>
      <c r="H438" s="24"/>
      <c r="I438" s="25"/>
      <c r="N438" s="26"/>
      <c r="O438" s="26"/>
    </row>
    <row r="439" ht="15.75" customHeight="1">
      <c r="A439" s="20"/>
      <c r="B439" s="21"/>
      <c r="C439" s="22"/>
      <c r="D439" s="22"/>
      <c r="E439" s="22"/>
      <c r="F439" s="22"/>
      <c r="G439" s="23"/>
      <c r="H439" s="24"/>
      <c r="I439" s="25"/>
      <c r="N439" s="26"/>
      <c r="O439" s="26"/>
    </row>
    <row r="440" ht="15.75" customHeight="1">
      <c r="A440" s="20"/>
      <c r="B440" s="21"/>
      <c r="C440" s="22"/>
      <c r="D440" s="22"/>
      <c r="E440" s="22"/>
      <c r="F440" s="22"/>
      <c r="G440" s="23"/>
      <c r="H440" s="24"/>
      <c r="I440" s="25"/>
      <c r="N440" s="26"/>
      <c r="O440" s="26"/>
    </row>
    <row r="441" ht="15.75" customHeight="1">
      <c r="A441" s="20"/>
      <c r="B441" s="21"/>
      <c r="C441" s="22"/>
      <c r="D441" s="22"/>
      <c r="E441" s="22"/>
      <c r="F441" s="22"/>
      <c r="G441" s="23"/>
      <c r="H441" s="24"/>
      <c r="I441" s="25"/>
      <c r="N441" s="26"/>
      <c r="O441" s="26"/>
    </row>
    <row r="442" ht="15.75" customHeight="1">
      <c r="A442" s="20"/>
      <c r="B442" s="21"/>
      <c r="C442" s="22"/>
      <c r="D442" s="22"/>
      <c r="E442" s="22"/>
      <c r="F442" s="22"/>
      <c r="G442" s="23"/>
      <c r="H442" s="24"/>
      <c r="I442" s="25"/>
      <c r="N442" s="26"/>
      <c r="O442" s="26"/>
    </row>
    <row r="443" ht="15.75" customHeight="1">
      <c r="A443" s="20"/>
      <c r="B443" s="21"/>
      <c r="C443" s="22"/>
      <c r="D443" s="22"/>
      <c r="E443" s="22"/>
      <c r="F443" s="22"/>
      <c r="G443" s="23"/>
      <c r="H443" s="24"/>
      <c r="I443" s="25"/>
      <c r="N443" s="26"/>
      <c r="O443" s="26"/>
    </row>
    <row r="444" ht="15.75" customHeight="1">
      <c r="A444" s="20"/>
      <c r="B444" s="21"/>
      <c r="C444" s="22"/>
      <c r="D444" s="22"/>
      <c r="E444" s="22"/>
      <c r="F444" s="22"/>
      <c r="G444" s="23"/>
      <c r="H444" s="24"/>
      <c r="I444" s="25"/>
      <c r="N444" s="26"/>
      <c r="O444" s="26"/>
    </row>
    <row r="445" ht="15.75" customHeight="1">
      <c r="A445" s="20"/>
      <c r="B445" s="21"/>
      <c r="C445" s="22"/>
      <c r="D445" s="22"/>
      <c r="E445" s="22"/>
      <c r="F445" s="22"/>
      <c r="G445" s="23"/>
      <c r="H445" s="24"/>
      <c r="I445" s="25"/>
      <c r="N445" s="26"/>
      <c r="O445" s="26"/>
    </row>
    <row r="446" ht="15.75" customHeight="1">
      <c r="A446" s="20"/>
      <c r="B446" s="21"/>
      <c r="C446" s="22"/>
      <c r="D446" s="22"/>
      <c r="E446" s="22"/>
      <c r="F446" s="22"/>
      <c r="G446" s="23"/>
      <c r="H446" s="24"/>
      <c r="I446" s="25"/>
      <c r="N446" s="26"/>
      <c r="O446" s="26"/>
    </row>
    <row r="447" ht="15.75" customHeight="1">
      <c r="A447" s="20"/>
      <c r="B447" s="21"/>
      <c r="C447" s="22"/>
      <c r="D447" s="22"/>
      <c r="E447" s="22"/>
      <c r="F447" s="22"/>
      <c r="G447" s="23"/>
      <c r="H447" s="24"/>
      <c r="I447" s="25"/>
      <c r="N447" s="26"/>
      <c r="O447" s="26"/>
    </row>
    <row r="448" ht="15.75" customHeight="1">
      <c r="A448" s="20"/>
      <c r="B448" s="21"/>
      <c r="C448" s="22"/>
      <c r="D448" s="22"/>
      <c r="E448" s="22"/>
      <c r="F448" s="22"/>
      <c r="G448" s="23"/>
      <c r="H448" s="24"/>
      <c r="I448" s="25"/>
      <c r="N448" s="26"/>
      <c r="O448" s="26"/>
    </row>
    <row r="449" ht="15.75" customHeight="1">
      <c r="A449" s="20"/>
      <c r="B449" s="21"/>
      <c r="C449" s="22"/>
      <c r="D449" s="22"/>
      <c r="E449" s="22"/>
      <c r="F449" s="22"/>
      <c r="G449" s="23"/>
      <c r="H449" s="24"/>
      <c r="I449" s="25"/>
      <c r="N449" s="26"/>
      <c r="O449" s="26"/>
    </row>
    <row r="450" ht="15.75" customHeight="1">
      <c r="A450" s="20"/>
      <c r="B450" s="21"/>
      <c r="C450" s="22"/>
      <c r="D450" s="22"/>
      <c r="E450" s="22"/>
      <c r="F450" s="22"/>
      <c r="G450" s="23"/>
      <c r="H450" s="24"/>
      <c r="I450" s="25"/>
      <c r="N450" s="26"/>
      <c r="O450" s="26"/>
    </row>
    <row r="451" ht="15.75" customHeight="1">
      <c r="A451" s="20"/>
      <c r="B451" s="21"/>
      <c r="C451" s="22"/>
      <c r="D451" s="22"/>
      <c r="E451" s="22"/>
      <c r="F451" s="22"/>
      <c r="G451" s="23"/>
      <c r="H451" s="24"/>
      <c r="I451" s="25"/>
      <c r="N451" s="26"/>
      <c r="O451" s="26"/>
    </row>
    <row r="452" ht="15.75" customHeight="1">
      <c r="A452" s="20"/>
      <c r="B452" s="21"/>
      <c r="C452" s="22"/>
      <c r="D452" s="22"/>
      <c r="E452" s="22"/>
      <c r="F452" s="22"/>
      <c r="G452" s="23"/>
      <c r="H452" s="24"/>
      <c r="I452" s="25"/>
      <c r="N452" s="26"/>
      <c r="O452" s="26"/>
    </row>
    <row r="453" ht="15.75" customHeight="1">
      <c r="A453" s="20"/>
      <c r="B453" s="21"/>
      <c r="C453" s="22"/>
      <c r="D453" s="22"/>
      <c r="E453" s="22"/>
      <c r="F453" s="22"/>
      <c r="G453" s="23"/>
      <c r="H453" s="24"/>
      <c r="I453" s="25"/>
      <c r="N453" s="26"/>
      <c r="O453" s="26"/>
    </row>
    <row r="454" ht="15.75" customHeight="1">
      <c r="A454" s="20"/>
      <c r="B454" s="21"/>
      <c r="C454" s="22"/>
      <c r="D454" s="22"/>
      <c r="E454" s="22"/>
      <c r="F454" s="22"/>
      <c r="G454" s="23"/>
      <c r="H454" s="24"/>
      <c r="I454" s="25"/>
      <c r="N454" s="26"/>
      <c r="O454" s="26"/>
    </row>
    <row r="455" ht="15.75" customHeight="1">
      <c r="A455" s="20"/>
      <c r="B455" s="21"/>
      <c r="C455" s="22"/>
      <c r="D455" s="22"/>
      <c r="E455" s="22"/>
      <c r="F455" s="22"/>
      <c r="G455" s="23"/>
      <c r="H455" s="24"/>
      <c r="I455" s="25"/>
      <c r="N455" s="26"/>
      <c r="O455" s="26"/>
    </row>
    <row r="456" ht="15.75" customHeight="1">
      <c r="A456" s="20"/>
      <c r="B456" s="21"/>
      <c r="C456" s="22"/>
      <c r="D456" s="22"/>
      <c r="E456" s="22"/>
      <c r="F456" s="22"/>
      <c r="G456" s="23"/>
      <c r="H456" s="24"/>
      <c r="I456" s="25"/>
      <c r="N456" s="26"/>
      <c r="O456" s="26"/>
    </row>
    <row r="457" ht="15.75" customHeight="1">
      <c r="A457" s="20"/>
      <c r="B457" s="21"/>
      <c r="C457" s="22"/>
      <c r="D457" s="22"/>
      <c r="E457" s="22"/>
      <c r="F457" s="22"/>
      <c r="G457" s="23"/>
      <c r="H457" s="24"/>
      <c r="I457" s="25"/>
      <c r="N457" s="26"/>
      <c r="O457" s="26"/>
    </row>
    <row r="458" ht="15.75" customHeight="1">
      <c r="A458" s="20"/>
      <c r="B458" s="21"/>
      <c r="C458" s="22"/>
      <c r="D458" s="22"/>
      <c r="E458" s="22"/>
      <c r="F458" s="22"/>
      <c r="G458" s="23"/>
      <c r="H458" s="24"/>
      <c r="I458" s="25"/>
      <c r="N458" s="26"/>
      <c r="O458" s="26"/>
    </row>
    <row r="459" ht="15.75" customHeight="1">
      <c r="A459" s="20"/>
      <c r="B459" s="21"/>
      <c r="C459" s="22"/>
      <c r="D459" s="22"/>
      <c r="E459" s="22"/>
      <c r="F459" s="22"/>
      <c r="G459" s="23"/>
      <c r="H459" s="24"/>
      <c r="I459" s="25"/>
      <c r="N459" s="26"/>
      <c r="O459" s="26"/>
    </row>
    <row r="460" ht="15.75" customHeight="1">
      <c r="A460" s="20"/>
      <c r="B460" s="21"/>
      <c r="C460" s="22"/>
      <c r="D460" s="22"/>
      <c r="E460" s="22"/>
      <c r="F460" s="22"/>
      <c r="G460" s="23"/>
      <c r="H460" s="24"/>
      <c r="I460" s="25"/>
      <c r="N460" s="26"/>
      <c r="O460" s="26"/>
    </row>
    <row r="461" ht="15.75" customHeight="1">
      <c r="A461" s="20"/>
      <c r="B461" s="21"/>
      <c r="C461" s="22"/>
      <c r="D461" s="22"/>
      <c r="E461" s="22"/>
      <c r="F461" s="22"/>
      <c r="G461" s="23"/>
      <c r="H461" s="24"/>
      <c r="I461" s="25"/>
      <c r="N461" s="26"/>
      <c r="O461" s="26"/>
    </row>
    <row r="462" ht="15.75" customHeight="1">
      <c r="A462" s="20"/>
      <c r="B462" s="21"/>
      <c r="C462" s="22"/>
      <c r="D462" s="22"/>
      <c r="E462" s="22"/>
      <c r="F462" s="22"/>
      <c r="G462" s="23"/>
      <c r="H462" s="24"/>
      <c r="I462" s="25"/>
      <c r="N462" s="26"/>
      <c r="O462" s="26"/>
    </row>
    <row r="463" ht="15.75" customHeight="1">
      <c r="A463" s="20"/>
      <c r="B463" s="21"/>
      <c r="C463" s="22"/>
      <c r="D463" s="22"/>
      <c r="E463" s="22"/>
      <c r="F463" s="22"/>
      <c r="G463" s="23"/>
      <c r="H463" s="24"/>
      <c r="I463" s="25"/>
      <c r="N463" s="26"/>
      <c r="O463" s="26"/>
    </row>
    <row r="464" ht="15.75" customHeight="1">
      <c r="A464" s="20"/>
      <c r="B464" s="21"/>
      <c r="C464" s="22"/>
      <c r="D464" s="22"/>
      <c r="E464" s="22"/>
      <c r="F464" s="22"/>
      <c r="G464" s="23"/>
      <c r="H464" s="24"/>
      <c r="I464" s="25"/>
      <c r="N464" s="26"/>
      <c r="O464" s="26"/>
    </row>
    <row r="465" ht="15.75" customHeight="1">
      <c r="A465" s="20"/>
      <c r="B465" s="21"/>
      <c r="C465" s="22"/>
      <c r="D465" s="22"/>
      <c r="E465" s="22"/>
      <c r="F465" s="22"/>
      <c r="G465" s="23"/>
      <c r="H465" s="24"/>
      <c r="I465" s="25"/>
      <c r="N465" s="26"/>
      <c r="O465" s="26"/>
    </row>
    <row r="466" ht="15.75" customHeight="1">
      <c r="A466" s="20"/>
      <c r="B466" s="21"/>
      <c r="C466" s="22"/>
      <c r="D466" s="22"/>
      <c r="E466" s="22"/>
      <c r="F466" s="22"/>
      <c r="G466" s="23"/>
      <c r="H466" s="24"/>
      <c r="I466" s="25"/>
      <c r="N466" s="26"/>
      <c r="O466" s="26"/>
    </row>
    <row r="467" ht="15.75" customHeight="1">
      <c r="A467" s="20"/>
      <c r="B467" s="21"/>
      <c r="C467" s="22"/>
      <c r="D467" s="22"/>
      <c r="E467" s="22"/>
      <c r="F467" s="22"/>
      <c r="G467" s="23"/>
      <c r="H467" s="24"/>
      <c r="I467" s="25"/>
      <c r="N467" s="26"/>
      <c r="O467" s="26"/>
    </row>
    <row r="468" ht="15.75" customHeight="1">
      <c r="A468" s="20"/>
      <c r="B468" s="21"/>
      <c r="C468" s="22"/>
      <c r="D468" s="22"/>
      <c r="E468" s="22"/>
      <c r="F468" s="22"/>
      <c r="G468" s="23"/>
      <c r="H468" s="24"/>
      <c r="I468" s="25"/>
      <c r="N468" s="26"/>
      <c r="O468" s="26"/>
    </row>
    <row r="469" ht="15.75" customHeight="1">
      <c r="A469" s="20"/>
      <c r="B469" s="21"/>
      <c r="C469" s="22"/>
      <c r="D469" s="22"/>
      <c r="E469" s="22"/>
      <c r="F469" s="22"/>
      <c r="G469" s="23"/>
      <c r="H469" s="24"/>
      <c r="I469" s="25"/>
      <c r="N469" s="26"/>
      <c r="O469" s="26"/>
    </row>
    <row r="470" ht="15.75" customHeight="1">
      <c r="A470" s="20"/>
      <c r="B470" s="21"/>
      <c r="C470" s="22"/>
      <c r="D470" s="22"/>
      <c r="E470" s="22"/>
      <c r="F470" s="22"/>
      <c r="G470" s="23"/>
      <c r="H470" s="24"/>
      <c r="I470" s="25"/>
      <c r="N470" s="26"/>
      <c r="O470" s="26"/>
    </row>
    <row r="471" ht="15.75" customHeight="1">
      <c r="A471" s="20"/>
      <c r="B471" s="21"/>
      <c r="C471" s="22"/>
      <c r="D471" s="22"/>
      <c r="E471" s="22"/>
      <c r="F471" s="22"/>
      <c r="G471" s="23"/>
      <c r="H471" s="24"/>
      <c r="I471" s="25"/>
      <c r="N471" s="26"/>
      <c r="O471" s="26"/>
    </row>
    <row r="472" ht="15.75" customHeight="1">
      <c r="A472" s="20"/>
      <c r="B472" s="21"/>
      <c r="C472" s="22"/>
      <c r="D472" s="22"/>
      <c r="E472" s="22"/>
      <c r="F472" s="22"/>
      <c r="G472" s="23"/>
      <c r="H472" s="24"/>
      <c r="I472" s="25"/>
      <c r="N472" s="26"/>
      <c r="O472" s="26"/>
    </row>
    <row r="473" ht="15.75" customHeight="1">
      <c r="A473" s="20"/>
      <c r="B473" s="21"/>
      <c r="C473" s="22"/>
      <c r="D473" s="22"/>
      <c r="E473" s="22"/>
      <c r="F473" s="22"/>
      <c r="G473" s="23"/>
      <c r="H473" s="24"/>
      <c r="I473" s="25"/>
      <c r="N473" s="26"/>
      <c r="O473" s="26"/>
    </row>
    <row r="474" ht="15.75" customHeight="1">
      <c r="A474" s="20"/>
      <c r="B474" s="21"/>
      <c r="C474" s="22"/>
      <c r="D474" s="22"/>
      <c r="E474" s="22"/>
      <c r="F474" s="22"/>
      <c r="G474" s="23"/>
      <c r="H474" s="24"/>
      <c r="I474" s="25"/>
      <c r="N474" s="26"/>
      <c r="O474" s="26"/>
    </row>
    <row r="475" ht="15.75" customHeight="1">
      <c r="A475" s="20"/>
      <c r="B475" s="21"/>
      <c r="C475" s="22"/>
      <c r="D475" s="22"/>
      <c r="E475" s="22"/>
      <c r="F475" s="22"/>
      <c r="G475" s="23"/>
      <c r="H475" s="24"/>
      <c r="I475" s="25"/>
      <c r="N475" s="26"/>
      <c r="O475" s="26"/>
    </row>
    <row r="476" ht="15.75" customHeight="1">
      <c r="A476" s="20"/>
      <c r="B476" s="21"/>
      <c r="C476" s="22"/>
      <c r="D476" s="22"/>
      <c r="E476" s="22"/>
      <c r="F476" s="22"/>
      <c r="G476" s="23"/>
      <c r="H476" s="24"/>
      <c r="I476" s="25"/>
      <c r="N476" s="26"/>
      <c r="O476" s="26"/>
    </row>
    <row r="477" ht="15.75" customHeight="1">
      <c r="A477" s="20"/>
      <c r="B477" s="21"/>
      <c r="C477" s="22"/>
      <c r="D477" s="22"/>
      <c r="E477" s="22"/>
      <c r="F477" s="22"/>
      <c r="G477" s="23"/>
      <c r="H477" s="24"/>
      <c r="I477" s="25"/>
      <c r="N477" s="26"/>
      <c r="O477" s="26"/>
    </row>
    <row r="478" ht="15.75" customHeight="1">
      <c r="A478" s="20"/>
      <c r="B478" s="21"/>
      <c r="C478" s="22"/>
      <c r="D478" s="22"/>
      <c r="E478" s="22"/>
      <c r="F478" s="22"/>
      <c r="G478" s="23"/>
      <c r="H478" s="24"/>
      <c r="I478" s="25"/>
      <c r="N478" s="26"/>
      <c r="O478" s="26"/>
    </row>
    <row r="479" ht="15.75" customHeight="1">
      <c r="A479" s="20"/>
      <c r="B479" s="21"/>
      <c r="C479" s="22"/>
      <c r="D479" s="22"/>
      <c r="E479" s="22"/>
      <c r="F479" s="22"/>
      <c r="G479" s="23"/>
      <c r="H479" s="24"/>
      <c r="I479" s="25"/>
      <c r="N479" s="26"/>
      <c r="O479" s="26"/>
    </row>
    <row r="480" ht="15.75" customHeight="1">
      <c r="A480" s="20"/>
      <c r="B480" s="21"/>
      <c r="C480" s="22"/>
      <c r="D480" s="22"/>
      <c r="E480" s="22"/>
      <c r="F480" s="22"/>
      <c r="G480" s="23"/>
      <c r="H480" s="24"/>
      <c r="I480" s="25"/>
      <c r="N480" s="26"/>
      <c r="O480" s="26"/>
    </row>
    <row r="481" ht="15.75" customHeight="1">
      <c r="A481" s="20"/>
      <c r="B481" s="21"/>
      <c r="C481" s="22"/>
      <c r="D481" s="22"/>
      <c r="E481" s="22"/>
      <c r="F481" s="22"/>
      <c r="G481" s="23"/>
      <c r="H481" s="24"/>
      <c r="I481" s="25"/>
      <c r="N481" s="26"/>
      <c r="O481" s="26"/>
    </row>
    <row r="482" ht="15.75" customHeight="1">
      <c r="A482" s="20"/>
      <c r="B482" s="21"/>
      <c r="C482" s="22"/>
      <c r="D482" s="22"/>
      <c r="E482" s="22"/>
      <c r="F482" s="22"/>
      <c r="G482" s="23"/>
      <c r="H482" s="24"/>
      <c r="I482" s="25"/>
      <c r="N482" s="26"/>
      <c r="O482" s="26"/>
    </row>
    <row r="483" ht="15.75" customHeight="1">
      <c r="A483" s="20"/>
      <c r="B483" s="21"/>
      <c r="C483" s="22"/>
      <c r="D483" s="22"/>
      <c r="E483" s="22"/>
      <c r="F483" s="22"/>
      <c r="G483" s="23"/>
      <c r="H483" s="24"/>
      <c r="I483" s="25"/>
      <c r="N483" s="26"/>
      <c r="O483" s="26"/>
    </row>
    <row r="484" ht="15.75" customHeight="1">
      <c r="A484" s="20"/>
      <c r="B484" s="21"/>
      <c r="C484" s="22"/>
      <c r="D484" s="22"/>
      <c r="E484" s="22"/>
      <c r="F484" s="22"/>
      <c r="G484" s="23"/>
      <c r="H484" s="24"/>
      <c r="I484" s="25"/>
      <c r="N484" s="26"/>
      <c r="O484" s="26"/>
    </row>
    <row r="485" ht="15.75" customHeight="1">
      <c r="A485" s="20"/>
      <c r="B485" s="21"/>
      <c r="C485" s="22"/>
      <c r="D485" s="22"/>
      <c r="E485" s="22"/>
      <c r="F485" s="22"/>
      <c r="G485" s="23"/>
      <c r="H485" s="24"/>
      <c r="I485" s="25"/>
      <c r="N485" s="26"/>
      <c r="O485" s="26"/>
    </row>
    <row r="486" ht="15.75" customHeight="1">
      <c r="A486" s="20"/>
      <c r="B486" s="21"/>
      <c r="C486" s="22"/>
      <c r="D486" s="22"/>
      <c r="E486" s="22"/>
      <c r="F486" s="22"/>
      <c r="G486" s="23"/>
      <c r="H486" s="24"/>
      <c r="I486" s="25"/>
      <c r="N486" s="26"/>
      <c r="O486" s="26"/>
    </row>
    <row r="487" ht="15.75" customHeight="1">
      <c r="A487" s="20"/>
      <c r="B487" s="21"/>
      <c r="C487" s="22"/>
      <c r="D487" s="22"/>
      <c r="E487" s="22"/>
      <c r="F487" s="22"/>
      <c r="G487" s="23"/>
      <c r="H487" s="24"/>
      <c r="I487" s="25"/>
      <c r="N487" s="26"/>
      <c r="O487" s="26"/>
    </row>
    <row r="488" ht="15.75" customHeight="1">
      <c r="A488" s="20"/>
      <c r="B488" s="21"/>
      <c r="C488" s="22"/>
      <c r="D488" s="22"/>
      <c r="E488" s="22"/>
      <c r="F488" s="22"/>
      <c r="G488" s="23"/>
      <c r="H488" s="24"/>
      <c r="I488" s="25"/>
      <c r="N488" s="26"/>
      <c r="O488" s="26"/>
    </row>
    <row r="489" ht="15.75" customHeight="1">
      <c r="A489" s="20"/>
      <c r="B489" s="21"/>
      <c r="C489" s="22"/>
      <c r="D489" s="22"/>
      <c r="E489" s="22"/>
      <c r="F489" s="22"/>
      <c r="G489" s="23"/>
      <c r="H489" s="24"/>
      <c r="I489" s="25"/>
      <c r="N489" s="26"/>
      <c r="O489" s="26"/>
    </row>
    <row r="490" ht="15.75" customHeight="1">
      <c r="A490" s="20"/>
      <c r="B490" s="21"/>
      <c r="C490" s="22"/>
      <c r="D490" s="22"/>
      <c r="E490" s="22"/>
      <c r="F490" s="22"/>
      <c r="G490" s="23"/>
      <c r="H490" s="24"/>
      <c r="I490" s="25"/>
      <c r="N490" s="26"/>
      <c r="O490" s="26"/>
    </row>
    <row r="491" ht="15.75" customHeight="1">
      <c r="A491" s="20"/>
      <c r="B491" s="21"/>
      <c r="C491" s="22"/>
      <c r="D491" s="22"/>
      <c r="E491" s="22"/>
      <c r="F491" s="22"/>
      <c r="G491" s="23"/>
      <c r="H491" s="24"/>
      <c r="I491" s="25"/>
      <c r="N491" s="26"/>
      <c r="O491" s="26"/>
    </row>
    <row r="492" ht="15.75" customHeight="1">
      <c r="A492" s="20"/>
      <c r="B492" s="21"/>
      <c r="C492" s="22"/>
      <c r="D492" s="22"/>
      <c r="E492" s="22"/>
      <c r="F492" s="22"/>
      <c r="G492" s="23"/>
      <c r="H492" s="24"/>
      <c r="I492" s="25"/>
      <c r="N492" s="26"/>
      <c r="O492" s="26"/>
    </row>
    <row r="493" ht="15.75" customHeight="1">
      <c r="A493" s="20"/>
      <c r="B493" s="21"/>
      <c r="C493" s="22"/>
      <c r="D493" s="22"/>
      <c r="E493" s="22"/>
      <c r="F493" s="22"/>
      <c r="G493" s="23"/>
      <c r="H493" s="24"/>
      <c r="I493" s="25"/>
      <c r="N493" s="26"/>
      <c r="O493" s="26"/>
    </row>
    <row r="494" ht="15.75" customHeight="1">
      <c r="A494" s="20"/>
      <c r="B494" s="21"/>
      <c r="C494" s="22"/>
      <c r="D494" s="22"/>
      <c r="E494" s="22"/>
      <c r="F494" s="22"/>
      <c r="G494" s="23"/>
      <c r="H494" s="24"/>
      <c r="I494" s="25"/>
      <c r="N494" s="26"/>
      <c r="O494" s="26"/>
    </row>
    <row r="495" ht="15.75" customHeight="1">
      <c r="A495" s="20"/>
      <c r="B495" s="21"/>
      <c r="C495" s="22"/>
      <c r="D495" s="22"/>
      <c r="E495" s="22"/>
      <c r="F495" s="22"/>
      <c r="G495" s="23"/>
      <c r="H495" s="24"/>
      <c r="I495" s="25"/>
      <c r="N495" s="26"/>
      <c r="O495" s="26"/>
    </row>
    <row r="496" ht="15.75" customHeight="1">
      <c r="A496" s="20"/>
      <c r="B496" s="21"/>
      <c r="C496" s="22"/>
      <c r="D496" s="22"/>
      <c r="E496" s="22"/>
      <c r="F496" s="22"/>
      <c r="G496" s="23"/>
      <c r="H496" s="24"/>
      <c r="I496" s="25"/>
      <c r="N496" s="26"/>
      <c r="O496" s="26"/>
    </row>
    <row r="497" ht="15.75" customHeight="1">
      <c r="A497" s="20"/>
      <c r="B497" s="21"/>
      <c r="C497" s="22"/>
      <c r="D497" s="22"/>
      <c r="E497" s="22"/>
      <c r="F497" s="22"/>
      <c r="G497" s="23"/>
      <c r="H497" s="24"/>
      <c r="I497" s="25"/>
      <c r="N497" s="26"/>
      <c r="O497" s="26"/>
    </row>
    <row r="498" ht="15.75" customHeight="1">
      <c r="A498" s="20"/>
      <c r="B498" s="21"/>
      <c r="C498" s="22"/>
      <c r="D498" s="22"/>
      <c r="E498" s="22"/>
      <c r="F498" s="22"/>
      <c r="G498" s="23"/>
      <c r="H498" s="24"/>
      <c r="I498" s="25"/>
      <c r="N498" s="26"/>
      <c r="O498" s="26"/>
    </row>
    <row r="499" ht="15.75" customHeight="1">
      <c r="A499" s="20"/>
      <c r="B499" s="21"/>
      <c r="C499" s="22"/>
      <c r="D499" s="22"/>
      <c r="E499" s="22"/>
      <c r="F499" s="22"/>
      <c r="G499" s="23"/>
      <c r="H499" s="24"/>
      <c r="I499" s="25"/>
      <c r="N499" s="26"/>
      <c r="O499" s="26"/>
    </row>
    <row r="500" ht="15.75" customHeight="1">
      <c r="A500" s="20"/>
      <c r="B500" s="21"/>
      <c r="C500" s="22"/>
      <c r="D500" s="22"/>
      <c r="E500" s="22"/>
      <c r="F500" s="22"/>
      <c r="G500" s="23"/>
      <c r="H500" s="24"/>
      <c r="I500" s="25"/>
      <c r="N500" s="26"/>
      <c r="O500" s="26"/>
    </row>
    <row r="501" ht="15.75" customHeight="1">
      <c r="A501" s="20"/>
      <c r="B501" s="21"/>
      <c r="C501" s="22"/>
      <c r="D501" s="22"/>
      <c r="E501" s="22"/>
      <c r="F501" s="22"/>
      <c r="G501" s="23"/>
      <c r="H501" s="24"/>
      <c r="I501" s="25"/>
      <c r="N501" s="26"/>
      <c r="O501" s="26"/>
    </row>
    <row r="502" ht="15.75" customHeight="1">
      <c r="A502" s="20"/>
      <c r="B502" s="21"/>
      <c r="C502" s="22"/>
      <c r="D502" s="22"/>
      <c r="E502" s="22"/>
      <c r="F502" s="22"/>
      <c r="G502" s="23"/>
      <c r="H502" s="24"/>
      <c r="I502" s="25"/>
      <c r="N502" s="26"/>
      <c r="O502" s="26"/>
    </row>
    <row r="503" ht="15.75" customHeight="1">
      <c r="A503" s="20"/>
      <c r="B503" s="21"/>
      <c r="C503" s="22"/>
      <c r="D503" s="22"/>
      <c r="E503" s="22"/>
      <c r="F503" s="22"/>
      <c r="G503" s="23"/>
      <c r="H503" s="24"/>
      <c r="I503" s="25"/>
      <c r="N503" s="26"/>
      <c r="O503" s="26"/>
    </row>
    <row r="504" ht="15.75" customHeight="1">
      <c r="A504" s="20"/>
      <c r="B504" s="21"/>
      <c r="C504" s="22"/>
      <c r="D504" s="22"/>
      <c r="E504" s="22"/>
      <c r="F504" s="22"/>
      <c r="G504" s="23"/>
      <c r="H504" s="24"/>
      <c r="I504" s="25"/>
      <c r="N504" s="26"/>
      <c r="O504" s="26"/>
    </row>
    <row r="505" ht="15.75" customHeight="1">
      <c r="A505" s="20"/>
      <c r="B505" s="21"/>
      <c r="C505" s="22"/>
      <c r="D505" s="22"/>
      <c r="E505" s="22"/>
      <c r="F505" s="22"/>
      <c r="G505" s="23"/>
      <c r="H505" s="24"/>
      <c r="I505" s="25"/>
      <c r="N505" s="26"/>
      <c r="O505" s="26"/>
    </row>
    <row r="506" ht="15.75" customHeight="1">
      <c r="A506" s="20"/>
      <c r="B506" s="21"/>
      <c r="C506" s="22"/>
      <c r="D506" s="22"/>
      <c r="E506" s="22"/>
      <c r="F506" s="22"/>
      <c r="G506" s="23"/>
      <c r="H506" s="24"/>
      <c r="I506" s="25"/>
      <c r="N506" s="26"/>
      <c r="O506" s="26"/>
    </row>
    <row r="507" ht="15.75" customHeight="1">
      <c r="A507" s="20"/>
      <c r="B507" s="21"/>
      <c r="C507" s="22"/>
      <c r="D507" s="22"/>
      <c r="E507" s="22"/>
      <c r="F507" s="22"/>
      <c r="G507" s="23"/>
      <c r="H507" s="24"/>
      <c r="I507" s="25"/>
      <c r="N507" s="26"/>
      <c r="O507" s="26"/>
    </row>
    <row r="508" ht="15.75" customHeight="1">
      <c r="A508" s="20"/>
      <c r="B508" s="21"/>
      <c r="C508" s="22"/>
      <c r="D508" s="22"/>
      <c r="E508" s="22"/>
      <c r="F508" s="22"/>
      <c r="G508" s="23"/>
      <c r="H508" s="24"/>
      <c r="I508" s="25"/>
      <c r="N508" s="26"/>
      <c r="O508" s="26"/>
    </row>
    <row r="509" ht="15.75" customHeight="1">
      <c r="A509" s="20"/>
      <c r="B509" s="21"/>
      <c r="C509" s="22"/>
      <c r="D509" s="22"/>
      <c r="E509" s="22"/>
      <c r="F509" s="22"/>
      <c r="G509" s="23"/>
      <c r="H509" s="24"/>
      <c r="I509" s="25"/>
      <c r="N509" s="26"/>
      <c r="O509" s="26"/>
    </row>
    <row r="510" ht="15.75" customHeight="1">
      <c r="A510" s="20"/>
      <c r="B510" s="21"/>
      <c r="C510" s="22"/>
      <c r="D510" s="22"/>
      <c r="E510" s="22"/>
      <c r="F510" s="22"/>
      <c r="G510" s="23"/>
      <c r="H510" s="24"/>
      <c r="I510" s="25"/>
      <c r="N510" s="26"/>
      <c r="O510" s="26"/>
    </row>
    <row r="511" ht="15.75" customHeight="1">
      <c r="A511" s="20"/>
      <c r="B511" s="21"/>
      <c r="C511" s="22"/>
      <c r="D511" s="22"/>
      <c r="E511" s="22"/>
      <c r="F511" s="22"/>
      <c r="G511" s="23"/>
      <c r="H511" s="24"/>
      <c r="I511" s="25"/>
      <c r="N511" s="26"/>
      <c r="O511" s="26"/>
    </row>
    <row r="512" ht="15.75" customHeight="1">
      <c r="A512" s="20"/>
      <c r="B512" s="21"/>
      <c r="C512" s="22"/>
      <c r="D512" s="22"/>
      <c r="E512" s="22"/>
      <c r="F512" s="22"/>
      <c r="G512" s="23"/>
      <c r="H512" s="24"/>
      <c r="I512" s="25"/>
      <c r="N512" s="26"/>
      <c r="O512" s="26"/>
    </row>
    <row r="513" ht="15.75" customHeight="1">
      <c r="A513" s="20"/>
      <c r="B513" s="21"/>
      <c r="C513" s="22"/>
      <c r="D513" s="22"/>
      <c r="E513" s="22"/>
      <c r="F513" s="22"/>
      <c r="G513" s="23"/>
      <c r="H513" s="24"/>
      <c r="I513" s="25"/>
      <c r="N513" s="26"/>
      <c r="O513" s="26"/>
    </row>
    <row r="514" ht="15.75" customHeight="1">
      <c r="A514" s="20"/>
      <c r="B514" s="21"/>
      <c r="C514" s="22"/>
      <c r="D514" s="22"/>
      <c r="E514" s="22"/>
      <c r="F514" s="22"/>
      <c r="G514" s="23"/>
      <c r="H514" s="24"/>
      <c r="I514" s="25"/>
      <c r="N514" s="26"/>
      <c r="O514" s="26"/>
    </row>
    <row r="515" ht="15.75" customHeight="1">
      <c r="A515" s="20"/>
      <c r="B515" s="21"/>
      <c r="C515" s="22"/>
      <c r="D515" s="22"/>
      <c r="E515" s="22"/>
      <c r="F515" s="22"/>
      <c r="G515" s="23"/>
      <c r="H515" s="24"/>
      <c r="I515" s="25"/>
      <c r="N515" s="26"/>
      <c r="O515" s="26"/>
    </row>
    <row r="516" ht="15.75" customHeight="1">
      <c r="A516" s="20"/>
      <c r="B516" s="21"/>
      <c r="C516" s="22"/>
      <c r="D516" s="22"/>
      <c r="E516" s="22"/>
      <c r="F516" s="22"/>
      <c r="G516" s="23"/>
      <c r="H516" s="24"/>
      <c r="I516" s="25"/>
      <c r="N516" s="26"/>
      <c r="O516" s="26"/>
    </row>
    <row r="517" ht="15.75" customHeight="1">
      <c r="A517" s="20"/>
      <c r="B517" s="21"/>
      <c r="C517" s="22"/>
      <c r="D517" s="22"/>
      <c r="E517" s="22"/>
      <c r="F517" s="22"/>
      <c r="G517" s="23"/>
      <c r="H517" s="24"/>
      <c r="I517" s="25"/>
      <c r="N517" s="26"/>
      <c r="O517" s="26"/>
    </row>
    <row r="518" ht="15.75" customHeight="1">
      <c r="A518" s="20"/>
      <c r="B518" s="21"/>
      <c r="C518" s="22"/>
      <c r="D518" s="22"/>
      <c r="E518" s="22"/>
      <c r="F518" s="22"/>
      <c r="G518" s="23"/>
      <c r="H518" s="24"/>
      <c r="I518" s="25"/>
      <c r="N518" s="26"/>
      <c r="O518" s="26"/>
    </row>
    <row r="519" ht="15.75" customHeight="1">
      <c r="A519" s="20"/>
      <c r="B519" s="21"/>
      <c r="C519" s="22"/>
      <c r="D519" s="22"/>
      <c r="E519" s="22"/>
      <c r="F519" s="22"/>
      <c r="G519" s="23"/>
      <c r="H519" s="24"/>
      <c r="I519" s="25"/>
      <c r="N519" s="26"/>
      <c r="O519" s="26"/>
    </row>
    <row r="520" ht="15.75" customHeight="1">
      <c r="A520" s="20"/>
      <c r="B520" s="21"/>
      <c r="C520" s="22"/>
      <c r="D520" s="22"/>
      <c r="E520" s="22"/>
      <c r="F520" s="22"/>
      <c r="G520" s="23"/>
      <c r="H520" s="24"/>
      <c r="I520" s="25"/>
      <c r="N520" s="26"/>
      <c r="O520" s="26"/>
    </row>
    <row r="521" ht="15.75" customHeight="1">
      <c r="A521" s="20"/>
      <c r="B521" s="21"/>
      <c r="C521" s="22"/>
      <c r="D521" s="22"/>
      <c r="E521" s="22"/>
      <c r="F521" s="22"/>
      <c r="G521" s="23"/>
      <c r="H521" s="24"/>
      <c r="I521" s="25"/>
      <c r="N521" s="26"/>
      <c r="O521" s="26"/>
    </row>
    <row r="522" ht="15.75" customHeight="1">
      <c r="A522" s="20"/>
      <c r="B522" s="21"/>
      <c r="C522" s="22"/>
      <c r="D522" s="22"/>
      <c r="E522" s="22"/>
      <c r="F522" s="22"/>
      <c r="G522" s="23"/>
      <c r="H522" s="24"/>
      <c r="I522" s="25"/>
      <c r="N522" s="26"/>
      <c r="O522" s="26"/>
    </row>
    <row r="523" ht="15.75" customHeight="1">
      <c r="A523" s="20"/>
      <c r="B523" s="21"/>
      <c r="C523" s="22"/>
      <c r="D523" s="22"/>
      <c r="E523" s="22"/>
      <c r="F523" s="22"/>
      <c r="G523" s="23"/>
      <c r="H523" s="24"/>
      <c r="I523" s="25"/>
      <c r="N523" s="26"/>
      <c r="O523" s="26"/>
    </row>
    <row r="524" ht="15.75" customHeight="1">
      <c r="A524" s="20"/>
      <c r="B524" s="21"/>
      <c r="C524" s="22"/>
      <c r="D524" s="22"/>
      <c r="E524" s="22"/>
      <c r="F524" s="22"/>
      <c r="G524" s="23"/>
      <c r="H524" s="24"/>
      <c r="I524" s="25"/>
      <c r="N524" s="26"/>
      <c r="O524" s="26"/>
    </row>
    <row r="525" ht="15.75" customHeight="1">
      <c r="A525" s="20"/>
      <c r="B525" s="21"/>
      <c r="C525" s="22"/>
      <c r="D525" s="22"/>
      <c r="E525" s="22"/>
      <c r="F525" s="22"/>
      <c r="G525" s="23"/>
      <c r="H525" s="24"/>
      <c r="I525" s="25"/>
      <c r="N525" s="26"/>
      <c r="O525" s="26"/>
    </row>
    <row r="526" ht="15.75" customHeight="1">
      <c r="A526" s="20"/>
      <c r="B526" s="21"/>
      <c r="C526" s="22"/>
      <c r="D526" s="22"/>
      <c r="E526" s="22"/>
      <c r="F526" s="22"/>
      <c r="G526" s="23"/>
      <c r="H526" s="24"/>
      <c r="I526" s="25"/>
      <c r="N526" s="26"/>
      <c r="O526" s="26"/>
    </row>
    <row r="527" ht="15.75" customHeight="1">
      <c r="A527" s="20"/>
      <c r="B527" s="21"/>
      <c r="C527" s="22"/>
      <c r="D527" s="22"/>
      <c r="E527" s="22"/>
      <c r="F527" s="22"/>
      <c r="G527" s="23"/>
      <c r="H527" s="24"/>
      <c r="I527" s="25"/>
      <c r="N527" s="26"/>
      <c r="O527" s="26"/>
    </row>
    <row r="528" ht="15.75" customHeight="1">
      <c r="A528" s="20"/>
      <c r="B528" s="21"/>
      <c r="C528" s="22"/>
      <c r="D528" s="22"/>
      <c r="E528" s="22"/>
      <c r="F528" s="22"/>
      <c r="G528" s="23"/>
      <c r="H528" s="24"/>
      <c r="I528" s="25"/>
      <c r="N528" s="26"/>
      <c r="O528" s="26"/>
    </row>
    <row r="529" ht="15.75" customHeight="1">
      <c r="A529" s="20"/>
      <c r="B529" s="21"/>
      <c r="C529" s="22"/>
      <c r="D529" s="22"/>
      <c r="E529" s="22"/>
      <c r="F529" s="22"/>
      <c r="G529" s="23"/>
      <c r="H529" s="24"/>
      <c r="I529" s="25"/>
      <c r="N529" s="26"/>
      <c r="O529" s="26"/>
    </row>
    <row r="530" ht="15.75" customHeight="1">
      <c r="A530" s="20"/>
      <c r="B530" s="21"/>
      <c r="C530" s="22"/>
      <c r="D530" s="22"/>
      <c r="E530" s="22"/>
      <c r="F530" s="22"/>
      <c r="G530" s="23"/>
      <c r="H530" s="24"/>
      <c r="I530" s="25"/>
      <c r="N530" s="26"/>
      <c r="O530" s="26"/>
    </row>
    <row r="531" ht="15.75" customHeight="1">
      <c r="A531" s="20"/>
      <c r="B531" s="21"/>
      <c r="C531" s="22"/>
      <c r="D531" s="22"/>
      <c r="E531" s="22"/>
      <c r="F531" s="22"/>
      <c r="G531" s="23"/>
      <c r="H531" s="24"/>
      <c r="I531" s="25"/>
      <c r="N531" s="26"/>
      <c r="O531" s="26"/>
    </row>
    <row r="532" ht="15.75" customHeight="1">
      <c r="A532" s="20"/>
      <c r="B532" s="21"/>
      <c r="C532" s="22"/>
      <c r="D532" s="22"/>
      <c r="E532" s="22"/>
      <c r="F532" s="22"/>
      <c r="G532" s="23"/>
      <c r="H532" s="24"/>
      <c r="I532" s="25"/>
      <c r="N532" s="26"/>
      <c r="O532" s="26"/>
    </row>
    <row r="533" ht="15.75" customHeight="1">
      <c r="A533" s="20"/>
      <c r="B533" s="21"/>
      <c r="C533" s="22"/>
      <c r="D533" s="22"/>
      <c r="E533" s="22"/>
      <c r="F533" s="22"/>
      <c r="G533" s="23"/>
      <c r="H533" s="24"/>
      <c r="I533" s="25"/>
      <c r="N533" s="26"/>
      <c r="O533" s="26"/>
    </row>
    <row r="534" ht="15.75" customHeight="1">
      <c r="A534" s="20"/>
      <c r="B534" s="21"/>
      <c r="C534" s="22"/>
      <c r="D534" s="22"/>
      <c r="E534" s="22"/>
      <c r="F534" s="22"/>
      <c r="G534" s="23"/>
      <c r="H534" s="24"/>
      <c r="I534" s="25"/>
      <c r="N534" s="26"/>
      <c r="O534" s="26"/>
    </row>
    <row r="535" ht="15.75" customHeight="1">
      <c r="A535" s="20"/>
      <c r="B535" s="21"/>
      <c r="C535" s="22"/>
      <c r="D535" s="22"/>
      <c r="E535" s="22"/>
      <c r="F535" s="22"/>
      <c r="G535" s="23"/>
      <c r="H535" s="24"/>
      <c r="I535" s="25"/>
      <c r="N535" s="26"/>
      <c r="O535" s="26"/>
    </row>
    <row r="536" ht="15.75" customHeight="1">
      <c r="A536" s="20"/>
      <c r="B536" s="21"/>
      <c r="C536" s="22"/>
      <c r="D536" s="22"/>
      <c r="E536" s="22"/>
      <c r="F536" s="22"/>
      <c r="G536" s="23"/>
      <c r="H536" s="24"/>
      <c r="I536" s="25"/>
      <c r="N536" s="26"/>
      <c r="O536" s="26"/>
    </row>
    <row r="537" ht="15.75" customHeight="1">
      <c r="A537" s="20"/>
      <c r="B537" s="21"/>
      <c r="C537" s="22"/>
      <c r="D537" s="22"/>
      <c r="E537" s="22"/>
      <c r="F537" s="22"/>
      <c r="G537" s="23"/>
      <c r="H537" s="24"/>
      <c r="I537" s="25"/>
      <c r="N537" s="26"/>
      <c r="O537" s="26"/>
    </row>
    <row r="538" ht="15.75" customHeight="1">
      <c r="A538" s="20"/>
      <c r="B538" s="21"/>
      <c r="C538" s="22"/>
      <c r="D538" s="22"/>
      <c r="E538" s="22"/>
      <c r="F538" s="22"/>
      <c r="G538" s="23"/>
      <c r="H538" s="24"/>
      <c r="I538" s="25"/>
      <c r="N538" s="26"/>
      <c r="O538" s="26"/>
    </row>
    <row r="539" ht="15.75" customHeight="1">
      <c r="A539" s="20"/>
      <c r="B539" s="21"/>
      <c r="C539" s="22"/>
      <c r="D539" s="22"/>
      <c r="E539" s="22"/>
      <c r="F539" s="22"/>
      <c r="G539" s="23"/>
      <c r="H539" s="24"/>
      <c r="I539" s="25"/>
      <c r="N539" s="26"/>
      <c r="O539" s="26"/>
    </row>
    <row r="540" ht="15.75" customHeight="1">
      <c r="A540" s="20"/>
      <c r="B540" s="21"/>
      <c r="C540" s="22"/>
      <c r="D540" s="22"/>
      <c r="E540" s="22"/>
      <c r="F540" s="22"/>
      <c r="G540" s="23"/>
      <c r="H540" s="24"/>
      <c r="I540" s="25"/>
      <c r="N540" s="26"/>
      <c r="O540" s="26"/>
    </row>
    <row r="541" ht="15.75" customHeight="1">
      <c r="A541" s="20"/>
      <c r="B541" s="21"/>
      <c r="C541" s="22"/>
      <c r="D541" s="22"/>
      <c r="E541" s="22"/>
      <c r="F541" s="22"/>
      <c r="G541" s="23"/>
      <c r="H541" s="24"/>
      <c r="I541" s="25"/>
      <c r="N541" s="26"/>
      <c r="O541" s="26"/>
    </row>
    <row r="542" ht="15.75" customHeight="1">
      <c r="A542" s="20"/>
      <c r="B542" s="21"/>
      <c r="C542" s="22"/>
      <c r="D542" s="22"/>
      <c r="E542" s="22"/>
      <c r="F542" s="22"/>
      <c r="G542" s="23"/>
      <c r="H542" s="24"/>
      <c r="I542" s="25"/>
      <c r="N542" s="26"/>
      <c r="O542" s="26"/>
    </row>
    <row r="543" ht="15.75" customHeight="1">
      <c r="A543" s="20"/>
      <c r="B543" s="21"/>
      <c r="C543" s="22"/>
      <c r="D543" s="22"/>
      <c r="E543" s="22"/>
      <c r="F543" s="22"/>
      <c r="G543" s="23"/>
      <c r="H543" s="24"/>
      <c r="I543" s="25"/>
      <c r="N543" s="26"/>
      <c r="O543" s="26"/>
    </row>
    <row r="544" ht="15.75" customHeight="1">
      <c r="A544" s="20"/>
      <c r="B544" s="21"/>
      <c r="C544" s="22"/>
      <c r="D544" s="22"/>
      <c r="E544" s="22"/>
      <c r="F544" s="22"/>
      <c r="G544" s="23"/>
      <c r="H544" s="24"/>
      <c r="I544" s="25"/>
      <c r="N544" s="26"/>
      <c r="O544" s="26"/>
    </row>
    <row r="545" ht="15.75" customHeight="1">
      <c r="A545" s="20"/>
      <c r="B545" s="21"/>
      <c r="C545" s="22"/>
      <c r="D545" s="22"/>
      <c r="E545" s="22"/>
      <c r="F545" s="22"/>
      <c r="G545" s="23"/>
      <c r="H545" s="24"/>
      <c r="I545" s="25"/>
      <c r="N545" s="26"/>
      <c r="O545" s="26"/>
    </row>
    <row r="546" ht="15.75" customHeight="1">
      <c r="A546" s="20"/>
      <c r="B546" s="21"/>
      <c r="C546" s="22"/>
      <c r="D546" s="22"/>
      <c r="E546" s="22"/>
      <c r="F546" s="22"/>
      <c r="G546" s="23"/>
      <c r="H546" s="24"/>
      <c r="I546" s="25"/>
      <c r="N546" s="26"/>
      <c r="O546" s="26"/>
    </row>
    <row r="547" ht="15.75" customHeight="1">
      <c r="A547" s="20"/>
      <c r="B547" s="21"/>
      <c r="C547" s="22"/>
      <c r="D547" s="22"/>
      <c r="E547" s="22"/>
      <c r="F547" s="22"/>
      <c r="G547" s="23"/>
      <c r="H547" s="24"/>
      <c r="I547" s="25"/>
      <c r="N547" s="26"/>
      <c r="O547" s="26"/>
    </row>
    <row r="548" ht="15.75" customHeight="1">
      <c r="A548" s="20"/>
      <c r="B548" s="21"/>
      <c r="C548" s="22"/>
      <c r="D548" s="22"/>
      <c r="E548" s="22"/>
      <c r="F548" s="22"/>
      <c r="G548" s="23"/>
      <c r="H548" s="24"/>
      <c r="I548" s="25"/>
      <c r="N548" s="26"/>
      <c r="O548" s="26"/>
    </row>
    <row r="549" ht="15.75" customHeight="1">
      <c r="A549" s="20"/>
      <c r="B549" s="21"/>
      <c r="C549" s="22"/>
      <c r="D549" s="22"/>
      <c r="E549" s="22"/>
      <c r="F549" s="22"/>
      <c r="G549" s="23"/>
      <c r="H549" s="24"/>
      <c r="I549" s="25"/>
      <c r="N549" s="26"/>
      <c r="O549" s="26"/>
    </row>
    <row r="550" ht="15.75" customHeight="1">
      <c r="A550" s="20"/>
      <c r="B550" s="21"/>
      <c r="C550" s="22"/>
      <c r="D550" s="22"/>
      <c r="E550" s="22"/>
      <c r="F550" s="22"/>
      <c r="G550" s="23"/>
      <c r="H550" s="24"/>
      <c r="I550" s="25"/>
      <c r="N550" s="26"/>
      <c r="O550" s="26"/>
    </row>
    <row r="551" ht="15.75" customHeight="1">
      <c r="A551" s="20"/>
      <c r="B551" s="21"/>
      <c r="C551" s="22"/>
      <c r="D551" s="22"/>
      <c r="E551" s="22"/>
      <c r="F551" s="22"/>
      <c r="G551" s="23"/>
      <c r="H551" s="24"/>
      <c r="I551" s="25"/>
      <c r="N551" s="26"/>
      <c r="O551" s="26"/>
    </row>
    <row r="552" ht="15.75" customHeight="1">
      <c r="A552" s="20"/>
      <c r="B552" s="21"/>
      <c r="C552" s="22"/>
      <c r="D552" s="22"/>
      <c r="E552" s="22"/>
      <c r="F552" s="22"/>
      <c r="G552" s="23"/>
      <c r="H552" s="24"/>
      <c r="I552" s="25"/>
      <c r="N552" s="26"/>
      <c r="O552" s="26"/>
    </row>
    <row r="553" ht="15.75" customHeight="1">
      <c r="A553" s="20"/>
      <c r="B553" s="21"/>
      <c r="C553" s="22"/>
      <c r="D553" s="22"/>
      <c r="E553" s="22"/>
      <c r="F553" s="22"/>
      <c r="G553" s="23"/>
      <c r="H553" s="24"/>
      <c r="I553" s="25"/>
      <c r="N553" s="26"/>
      <c r="O553" s="26"/>
    </row>
    <row r="554" ht="15.75" customHeight="1">
      <c r="A554" s="20"/>
      <c r="B554" s="21"/>
      <c r="C554" s="22"/>
      <c r="D554" s="22"/>
      <c r="E554" s="22"/>
      <c r="F554" s="22"/>
      <c r="G554" s="23"/>
      <c r="H554" s="24"/>
      <c r="I554" s="25"/>
      <c r="N554" s="26"/>
      <c r="O554" s="26"/>
    </row>
    <row r="555" ht="15.75" customHeight="1">
      <c r="A555" s="20"/>
      <c r="B555" s="21"/>
      <c r="C555" s="22"/>
      <c r="D555" s="22"/>
      <c r="E555" s="22"/>
      <c r="F555" s="22"/>
      <c r="G555" s="23"/>
      <c r="H555" s="24"/>
      <c r="I555" s="25"/>
      <c r="N555" s="26"/>
      <c r="O555" s="26"/>
    </row>
    <row r="556" ht="15.75" customHeight="1">
      <c r="A556" s="20"/>
      <c r="B556" s="21"/>
      <c r="C556" s="22"/>
      <c r="D556" s="22"/>
      <c r="E556" s="22"/>
      <c r="F556" s="22"/>
      <c r="G556" s="23"/>
      <c r="H556" s="24"/>
      <c r="I556" s="25"/>
      <c r="N556" s="26"/>
      <c r="O556" s="26"/>
    </row>
    <row r="557" ht="15.75" customHeight="1">
      <c r="A557" s="20"/>
      <c r="B557" s="21"/>
      <c r="C557" s="22"/>
      <c r="D557" s="22"/>
      <c r="E557" s="22"/>
      <c r="F557" s="22"/>
      <c r="G557" s="23"/>
      <c r="H557" s="24"/>
      <c r="I557" s="25"/>
      <c r="N557" s="26"/>
      <c r="O557" s="26"/>
    </row>
    <row r="558" ht="15.75" customHeight="1">
      <c r="A558" s="20"/>
      <c r="B558" s="21"/>
      <c r="C558" s="22"/>
      <c r="D558" s="22"/>
      <c r="E558" s="22"/>
      <c r="F558" s="22"/>
      <c r="G558" s="23"/>
      <c r="H558" s="24"/>
      <c r="I558" s="25"/>
      <c r="N558" s="26"/>
      <c r="O558" s="26"/>
    </row>
    <row r="559" ht="15.75" customHeight="1">
      <c r="A559" s="20"/>
      <c r="B559" s="21"/>
      <c r="C559" s="22"/>
      <c r="D559" s="22"/>
      <c r="E559" s="22"/>
      <c r="F559" s="22"/>
      <c r="G559" s="23"/>
      <c r="H559" s="24"/>
      <c r="I559" s="25"/>
      <c r="N559" s="26"/>
      <c r="O559" s="26"/>
    </row>
    <row r="560" ht="15.75" customHeight="1">
      <c r="A560" s="20"/>
      <c r="B560" s="21"/>
      <c r="C560" s="22"/>
      <c r="D560" s="22"/>
      <c r="E560" s="22"/>
      <c r="F560" s="22"/>
      <c r="G560" s="23"/>
      <c r="H560" s="24"/>
      <c r="I560" s="25"/>
      <c r="N560" s="26"/>
      <c r="O560" s="26"/>
    </row>
    <row r="561" ht="15.75" customHeight="1">
      <c r="A561" s="20"/>
      <c r="B561" s="21"/>
      <c r="C561" s="22"/>
      <c r="D561" s="22"/>
      <c r="E561" s="22"/>
      <c r="F561" s="22"/>
      <c r="G561" s="23"/>
      <c r="H561" s="24"/>
      <c r="I561" s="25"/>
      <c r="N561" s="26"/>
      <c r="O561" s="26"/>
    </row>
    <row r="562" ht="15.75" customHeight="1">
      <c r="A562" s="20"/>
      <c r="B562" s="21"/>
      <c r="C562" s="22"/>
      <c r="D562" s="22"/>
      <c r="E562" s="22"/>
      <c r="F562" s="22"/>
      <c r="G562" s="23"/>
      <c r="H562" s="24"/>
      <c r="I562" s="25"/>
      <c r="N562" s="26"/>
      <c r="O562" s="26"/>
    </row>
    <row r="563" ht="15.75" customHeight="1">
      <c r="A563" s="20"/>
      <c r="B563" s="21"/>
      <c r="C563" s="22"/>
      <c r="D563" s="22"/>
      <c r="E563" s="22"/>
      <c r="F563" s="22"/>
      <c r="G563" s="23"/>
      <c r="H563" s="24"/>
      <c r="I563" s="25"/>
      <c r="N563" s="26"/>
      <c r="O563" s="26"/>
    </row>
    <row r="564" ht="15.75" customHeight="1">
      <c r="A564" s="20"/>
      <c r="B564" s="21"/>
      <c r="C564" s="22"/>
      <c r="D564" s="22"/>
      <c r="E564" s="22"/>
      <c r="F564" s="22"/>
      <c r="G564" s="23"/>
      <c r="H564" s="24"/>
      <c r="I564" s="25"/>
      <c r="N564" s="26"/>
      <c r="O564" s="26"/>
    </row>
    <row r="565" ht="15.75" customHeight="1">
      <c r="A565" s="20"/>
      <c r="B565" s="21"/>
      <c r="C565" s="22"/>
      <c r="D565" s="22"/>
      <c r="E565" s="22"/>
      <c r="F565" s="22"/>
      <c r="G565" s="23"/>
      <c r="H565" s="24"/>
      <c r="I565" s="25"/>
      <c r="N565" s="26"/>
      <c r="O565" s="26"/>
    </row>
    <row r="566" ht="15.75" customHeight="1">
      <c r="A566" s="20"/>
      <c r="B566" s="21"/>
      <c r="C566" s="22"/>
      <c r="D566" s="22"/>
      <c r="E566" s="22"/>
      <c r="F566" s="22"/>
      <c r="G566" s="23"/>
      <c r="H566" s="24"/>
      <c r="I566" s="25"/>
      <c r="N566" s="26"/>
      <c r="O566" s="26"/>
    </row>
    <row r="567" ht="15.75" customHeight="1">
      <c r="A567" s="20"/>
      <c r="B567" s="21"/>
      <c r="C567" s="22"/>
      <c r="D567" s="22"/>
      <c r="E567" s="22"/>
      <c r="F567" s="22"/>
      <c r="G567" s="23"/>
      <c r="H567" s="24"/>
      <c r="I567" s="25"/>
      <c r="N567" s="26"/>
      <c r="O567" s="26"/>
    </row>
    <row r="568" ht="15.75" customHeight="1">
      <c r="A568" s="20"/>
      <c r="B568" s="21"/>
      <c r="C568" s="22"/>
      <c r="D568" s="22"/>
      <c r="E568" s="22"/>
      <c r="F568" s="22"/>
      <c r="G568" s="23"/>
      <c r="H568" s="24"/>
      <c r="I568" s="25"/>
      <c r="N568" s="26"/>
      <c r="O568" s="26"/>
    </row>
    <row r="569" ht="15.75" customHeight="1">
      <c r="A569" s="20"/>
      <c r="B569" s="21"/>
      <c r="C569" s="22"/>
      <c r="D569" s="22"/>
      <c r="E569" s="22"/>
      <c r="F569" s="22"/>
      <c r="G569" s="23"/>
      <c r="H569" s="24"/>
      <c r="I569" s="25"/>
      <c r="N569" s="26"/>
      <c r="O569" s="26"/>
    </row>
    <row r="570" ht="15.75" customHeight="1">
      <c r="A570" s="20"/>
      <c r="B570" s="21"/>
      <c r="C570" s="22"/>
      <c r="D570" s="22"/>
      <c r="E570" s="22"/>
      <c r="F570" s="22"/>
      <c r="G570" s="23"/>
      <c r="H570" s="24"/>
      <c r="I570" s="25"/>
      <c r="N570" s="26"/>
      <c r="O570" s="26"/>
    </row>
    <row r="571" ht="15.75" customHeight="1">
      <c r="A571" s="20"/>
      <c r="B571" s="21"/>
      <c r="C571" s="22"/>
      <c r="D571" s="22"/>
      <c r="E571" s="22"/>
      <c r="F571" s="22"/>
      <c r="G571" s="23"/>
      <c r="H571" s="24"/>
      <c r="I571" s="25"/>
      <c r="N571" s="26"/>
      <c r="O571" s="26"/>
    </row>
    <row r="572" ht="15.75" customHeight="1">
      <c r="A572" s="20"/>
      <c r="B572" s="21"/>
      <c r="C572" s="22"/>
      <c r="D572" s="22"/>
      <c r="E572" s="22"/>
      <c r="F572" s="22"/>
      <c r="G572" s="23"/>
      <c r="H572" s="24"/>
      <c r="I572" s="25"/>
      <c r="N572" s="26"/>
      <c r="O572" s="26"/>
    </row>
    <row r="573" ht="15.75" customHeight="1">
      <c r="A573" s="20"/>
      <c r="B573" s="21"/>
      <c r="C573" s="22"/>
      <c r="D573" s="22"/>
      <c r="E573" s="22"/>
      <c r="F573" s="22"/>
      <c r="G573" s="23"/>
      <c r="H573" s="24"/>
      <c r="I573" s="25"/>
      <c r="N573" s="26"/>
      <c r="O573" s="26"/>
    </row>
    <row r="574" ht="15.75" customHeight="1">
      <c r="A574" s="20"/>
      <c r="B574" s="21"/>
      <c r="C574" s="22"/>
      <c r="D574" s="22"/>
      <c r="E574" s="22"/>
      <c r="F574" s="22"/>
      <c r="G574" s="23"/>
      <c r="H574" s="24"/>
      <c r="I574" s="25"/>
      <c r="N574" s="26"/>
      <c r="O574" s="26"/>
    </row>
    <row r="575" ht="15.75" customHeight="1">
      <c r="A575" s="20"/>
      <c r="B575" s="21"/>
      <c r="C575" s="22"/>
      <c r="D575" s="22"/>
      <c r="E575" s="22"/>
      <c r="F575" s="22"/>
      <c r="G575" s="23"/>
      <c r="H575" s="24"/>
      <c r="I575" s="25"/>
      <c r="N575" s="26"/>
      <c r="O575" s="26"/>
    </row>
    <row r="576" ht="15.75" customHeight="1">
      <c r="A576" s="20"/>
      <c r="B576" s="21"/>
      <c r="C576" s="22"/>
      <c r="D576" s="22"/>
      <c r="E576" s="22"/>
      <c r="F576" s="22"/>
      <c r="G576" s="23"/>
      <c r="H576" s="24"/>
      <c r="I576" s="25"/>
      <c r="N576" s="26"/>
      <c r="O576" s="26"/>
    </row>
    <row r="577" ht="15.75" customHeight="1">
      <c r="A577" s="20"/>
      <c r="B577" s="21"/>
      <c r="C577" s="22"/>
      <c r="D577" s="22"/>
      <c r="E577" s="22"/>
      <c r="F577" s="22"/>
      <c r="G577" s="23"/>
      <c r="H577" s="24"/>
      <c r="I577" s="25"/>
      <c r="N577" s="26"/>
      <c r="O577" s="26"/>
    </row>
    <row r="578" ht="15.75" customHeight="1">
      <c r="A578" s="20"/>
      <c r="B578" s="21"/>
      <c r="C578" s="22"/>
      <c r="D578" s="22"/>
      <c r="E578" s="22"/>
      <c r="F578" s="22"/>
      <c r="G578" s="23"/>
      <c r="H578" s="24"/>
      <c r="I578" s="25"/>
      <c r="N578" s="26"/>
      <c r="O578" s="26"/>
    </row>
    <row r="579" ht="15.75" customHeight="1">
      <c r="A579" s="20"/>
      <c r="B579" s="21"/>
      <c r="C579" s="22"/>
      <c r="D579" s="22"/>
      <c r="E579" s="22"/>
      <c r="F579" s="22"/>
      <c r="G579" s="23"/>
      <c r="H579" s="24"/>
      <c r="I579" s="25"/>
      <c r="N579" s="26"/>
      <c r="O579" s="26"/>
    </row>
    <row r="580" ht="15.75" customHeight="1">
      <c r="A580" s="20"/>
      <c r="B580" s="21"/>
      <c r="C580" s="22"/>
      <c r="D580" s="22"/>
      <c r="E580" s="22"/>
      <c r="F580" s="22"/>
      <c r="G580" s="23"/>
      <c r="H580" s="24"/>
      <c r="I580" s="25"/>
      <c r="N580" s="26"/>
      <c r="O580" s="26"/>
    </row>
    <row r="581" ht="15.75" customHeight="1">
      <c r="A581" s="20"/>
      <c r="B581" s="21"/>
      <c r="C581" s="22"/>
      <c r="D581" s="22"/>
      <c r="E581" s="22"/>
      <c r="F581" s="22"/>
      <c r="G581" s="23"/>
      <c r="H581" s="24"/>
      <c r="I581" s="25"/>
      <c r="N581" s="26"/>
      <c r="O581" s="26"/>
    </row>
    <row r="582" ht="15.75" customHeight="1">
      <c r="A582" s="20"/>
      <c r="B582" s="21"/>
      <c r="C582" s="22"/>
      <c r="D582" s="22"/>
      <c r="E582" s="22"/>
      <c r="F582" s="22"/>
      <c r="G582" s="23"/>
      <c r="H582" s="24"/>
      <c r="I582" s="25"/>
      <c r="N582" s="26"/>
      <c r="O582" s="26"/>
    </row>
    <row r="583" ht="15.75" customHeight="1">
      <c r="A583" s="20"/>
      <c r="B583" s="21"/>
      <c r="C583" s="22"/>
      <c r="D583" s="22"/>
      <c r="E583" s="22"/>
      <c r="F583" s="22"/>
      <c r="G583" s="23"/>
      <c r="H583" s="24"/>
      <c r="I583" s="25"/>
      <c r="N583" s="26"/>
      <c r="O583" s="26"/>
    </row>
    <row r="584" ht="15.75" customHeight="1">
      <c r="A584" s="20"/>
      <c r="B584" s="21"/>
      <c r="C584" s="22"/>
      <c r="D584" s="22"/>
      <c r="E584" s="22"/>
      <c r="F584" s="22"/>
      <c r="G584" s="23"/>
      <c r="H584" s="24"/>
      <c r="I584" s="25"/>
      <c r="N584" s="26"/>
      <c r="O584" s="26"/>
    </row>
    <row r="585" ht="15.75" customHeight="1">
      <c r="A585" s="20"/>
      <c r="B585" s="21"/>
      <c r="C585" s="22"/>
      <c r="D585" s="22"/>
      <c r="E585" s="22"/>
      <c r="F585" s="22"/>
      <c r="G585" s="23"/>
      <c r="H585" s="24"/>
      <c r="I585" s="25"/>
      <c r="N585" s="26"/>
      <c r="O585" s="26"/>
    </row>
    <row r="586" ht="15.75" customHeight="1">
      <c r="A586" s="20"/>
      <c r="B586" s="21"/>
      <c r="C586" s="22"/>
      <c r="D586" s="22"/>
      <c r="E586" s="22"/>
      <c r="F586" s="22"/>
      <c r="G586" s="23"/>
      <c r="H586" s="24"/>
      <c r="I586" s="25"/>
      <c r="N586" s="26"/>
      <c r="O586" s="26"/>
    </row>
    <row r="587" ht="15.75" customHeight="1">
      <c r="A587" s="20"/>
      <c r="B587" s="21"/>
      <c r="C587" s="22"/>
      <c r="D587" s="22"/>
      <c r="E587" s="22"/>
      <c r="F587" s="22"/>
      <c r="G587" s="23"/>
      <c r="H587" s="24"/>
      <c r="I587" s="25"/>
      <c r="N587" s="26"/>
      <c r="O587" s="26"/>
    </row>
    <row r="588" ht="15.75" customHeight="1">
      <c r="A588" s="20"/>
      <c r="B588" s="21"/>
      <c r="C588" s="22"/>
      <c r="D588" s="22"/>
      <c r="E588" s="22"/>
      <c r="F588" s="22"/>
      <c r="G588" s="23"/>
      <c r="H588" s="24"/>
      <c r="I588" s="25"/>
      <c r="N588" s="26"/>
      <c r="O588" s="26"/>
    </row>
    <row r="589" ht="15.75" customHeight="1">
      <c r="A589" s="20"/>
      <c r="B589" s="21"/>
      <c r="C589" s="22"/>
      <c r="D589" s="22"/>
      <c r="E589" s="22"/>
      <c r="F589" s="22"/>
      <c r="G589" s="23"/>
      <c r="H589" s="24"/>
      <c r="I589" s="25"/>
      <c r="N589" s="26"/>
      <c r="O589" s="26"/>
    </row>
    <row r="590" ht="15.75" customHeight="1">
      <c r="A590" s="20"/>
      <c r="B590" s="21"/>
      <c r="C590" s="22"/>
      <c r="D590" s="22"/>
      <c r="E590" s="22"/>
      <c r="F590" s="22"/>
      <c r="G590" s="23"/>
      <c r="H590" s="24"/>
      <c r="I590" s="25"/>
      <c r="N590" s="26"/>
      <c r="O590" s="26"/>
    </row>
    <row r="591" ht="15.75" customHeight="1">
      <c r="A591" s="20"/>
      <c r="B591" s="21"/>
      <c r="C591" s="22"/>
      <c r="D591" s="22"/>
      <c r="E591" s="22"/>
      <c r="F591" s="22"/>
      <c r="G591" s="23"/>
      <c r="H591" s="24"/>
      <c r="I591" s="25"/>
      <c r="N591" s="26"/>
      <c r="O591" s="26"/>
    </row>
    <row r="592" ht="15.75" customHeight="1">
      <c r="A592" s="20"/>
      <c r="B592" s="21"/>
      <c r="C592" s="22"/>
      <c r="D592" s="22"/>
      <c r="E592" s="22"/>
      <c r="F592" s="22"/>
      <c r="G592" s="23"/>
      <c r="H592" s="24"/>
      <c r="I592" s="25"/>
      <c r="N592" s="26"/>
      <c r="O592" s="26"/>
    </row>
    <row r="593" ht="15.75" customHeight="1">
      <c r="A593" s="20"/>
      <c r="B593" s="21"/>
      <c r="C593" s="22"/>
      <c r="D593" s="22"/>
      <c r="E593" s="22"/>
      <c r="F593" s="22"/>
      <c r="G593" s="23"/>
      <c r="H593" s="24"/>
      <c r="I593" s="25"/>
      <c r="N593" s="26"/>
      <c r="O593" s="26"/>
    </row>
    <row r="594" ht="15.75" customHeight="1">
      <c r="A594" s="20"/>
      <c r="B594" s="21"/>
      <c r="C594" s="22"/>
      <c r="D594" s="22"/>
      <c r="E594" s="22"/>
      <c r="F594" s="22"/>
      <c r="G594" s="23"/>
      <c r="H594" s="24"/>
      <c r="I594" s="25"/>
      <c r="N594" s="26"/>
      <c r="O594" s="26"/>
    </row>
    <row r="595" ht="15.75" customHeight="1">
      <c r="A595" s="20"/>
      <c r="B595" s="21"/>
      <c r="C595" s="22"/>
      <c r="D595" s="22"/>
      <c r="E595" s="22"/>
      <c r="F595" s="22"/>
      <c r="G595" s="23"/>
      <c r="H595" s="24"/>
      <c r="I595" s="25"/>
      <c r="N595" s="26"/>
      <c r="O595" s="26"/>
    </row>
    <row r="596" ht="15.75" customHeight="1">
      <c r="A596" s="20"/>
      <c r="B596" s="21"/>
      <c r="C596" s="22"/>
      <c r="D596" s="22"/>
      <c r="E596" s="22"/>
      <c r="F596" s="22"/>
      <c r="G596" s="23"/>
      <c r="H596" s="24"/>
      <c r="I596" s="25"/>
      <c r="N596" s="26"/>
      <c r="O596" s="26"/>
    </row>
    <row r="597" ht="15.75" customHeight="1">
      <c r="A597" s="20"/>
      <c r="B597" s="21"/>
      <c r="C597" s="22"/>
      <c r="D597" s="22"/>
      <c r="E597" s="22"/>
      <c r="F597" s="22"/>
      <c r="G597" s="23"/>
      <c r="H597" s="24"/>
      <c r="I597" s="25"/>
      <c r="N597" s="26"/>
      <c r="O597" s="26"/>
    </row>
    <row r="598" ht="15.75" customHeight="1">
      <c r="A598" s="20"/>
      <c r="B598" s="21"/>
      <c r="C598" s="22"/>
      <c r="D598" s="22"/>
      <c r="E598" s="22"/>
      <c r="F598" s="22"/>
      <c r="G598" s="23"/>
      <c r="H598" s="24"/>
      <c r="I598" s="25"/>
      <c r="N598" s="26"/>
      <c r="O598" s="26"/>
    </row>
    <row r="599" ht="15.75" customHeight="1">
      <c r="A599" s="20"/>
      <c r="B599" s="21"/>
      <c r="C599" s="22"/>
      <c r="D599" s="22"/>
      <c r="E599" s="22"/>
      <c r="F599" s="22"/>
      <c r="G599" s="23"/>
      <c r="H599" s="24"/>
      <c r="I599" s="25"/>
      <c r="N599" s="26"/>
      <c r="O599" s="26"/>
    </row>
    <row r="600" ht="15.75" customHeight="1">
      <c r="A600" s="20"/>
      <c r="B600" s="21"/>
      <c r="C600" s="22"/>
      <c r="D600" s="22"/>
      <c r="E600" s="22"/>
      <c r="F600" s="22"/>
      <c r="G600" s="23"/>
      <c r="H600" s="24"/>
      <c r="I600" s="25"/>
      <c r="N600" s="26"/>
      <c r="O600" s="26"/>
    </row>
    <row r="601" ht="15.75" customHeight="1">
      <c r="A601" s="20"/>
      <c r="B601" s="21"/>
      <c r="C601" s="22"/>
      <c r="D601" s="22"/>
      <c r="E601" s="22"/>
      <c r="F601" s="22"/>
      <c r="G601" s="23"/>
      <c r="H601" s="24"/>
      <c r="I601" s="25"/>
      <c r="N601" s="26"/>
      <c r="O601" s="26"/>
    </row>
    <row r="602" ht="15.75" customHeight="1">
      <c r="A602" s="20"/>
      <c r="B602" s="21"/>
      <c r="C602" s="22"/>
      <c r="D602" s="22"/>
      <c r="E602" s="22"/>
      <c r="F602" s="22"/>
      <c r="G602" s="23"/>
      <c r="H602" s="24"/>
      <c r="I602" s="25"/>
      <c r="N602" s="26"/>
      <c r="O602" s="26"/>
    </row>
    <row r="603" ht="15.75" customHeight="1">
      <c r="A603" s="20"/>
      <c r="B603" s="21"/>
      <c r="C603" s="22"/>
      <c r="D603" s="22"/>
      <c r="E603" s="22"/>
      <c r="F603" s="22"/>
      <c r="G603" s="23"/>
      <c r="H603" s="24"/>
      <c r="I603" s="25"/>
      <c r="N603" s="26"/>
      <c r="O603" s="26"/>
    </row>
    <row r="604" ht="15.75" customHeight="1">
      <c r="A604" s="20"/>
      <c r="B604" s="21"/>
      <c r="C604" s="22"/>
      <c r="D604" s="22"/>
      <c r="E604" s="22"/>
      <c r="F604" s="22"/>
      <c r="G604" s="23"/>
      <c r="H604" s="24"/>
      <c r="I604" s="25"/>
      <c r="N604" s="26"/>
      <c r="O604" s="26"/>
    </row>
    <row r="605" ht="15.75" customHeight="1">
      <c r="A605" s="20"/>
      <c r="B605" s="21"/>
      <c r="C605" s="22"/>
      <c r="D605" s="22"/>
      <c r="E605" s="22"/>
      <c r="F605" s="22"/>
      <c r="G605" s="23"/>
      <c r="H605" s="24"/>
      <c r="I605" s="25"/>
      <c r="N605" s="26"/>
      <c r="O605" s="26"/>
    </row>
    <row r="606" ht="15.75" customHeight="1">
      <c r="A606" s="20"/>
      <c r="B606" s="21"/>
      <c r="C606" s="22"/>
      <c r="D606" s="22"/>
      <c r="E606" s="22"/>
      <c r="F606" s="22"/>
      <c r="G606" s="23"/>
      <c r="H606" s="24"/>
      <c r="I606" s="25"/>
      <c r="N606" s="26"/>
      <c r="O606" s="26"/>
    </row>
    <row r="607" ht="15.75" customHeight="1">
      <c r="A607" s="20"/>
      <c r="B607" s="21"/>
      <c r="C607" s="22"/>
      <c r="D607" s="22"/>
      <c r="E607" s="22"/>
      <c r="F607" s="22"/>
      <c r="G607" s="23"/>
      <c r="H607" s="24"/>
      <c r="I607" s="25"/>
      <c r="N607" s="26"/>
      <c r="O607" s="26"/>
    </row>
    <row r="608" ht="15.75" customHeight="1">
      <c r="A608" s="20"/>
      <c r="B608" s="21"/>
      <c r="C608" s="22"/>
      <c r="D608" s="22"/>
      <c r="E608" s="22"/>
      <c r="F608" s="22"/>
      <c r="G608" s="23"/>
      <c r="H608" s="24"/>
      <c r="I608" s="25"/>
      <c r="N608" s="26"/>
      <c r="O608" s="26"/>
    </row>
    <row r="609" ht="15.75" customHeight="1">
      <c r="A609" s="20"/>
      <c r="B609" s="21"/>
      <c r="C609" s="22"/>
      <c r="D609" s="22"/>
      <c r="E609" s="22"/>
      <c r="F609" s="22"/>
      <c r="G609" s="23"/>
      <c r="H609" s="24"/>
      <c r="I609" s="25"/>
      <c r="N609" s="26"/>
      <c r="O609" s="26"/>
    </row>
    <row r="610" ht="15.75" customHeight="1">
      <c r="A610" s="20"/>
      <c r="B610" s="21"/>
      <c r="C610" s="22"/>
      <c r="D610" s="22"/>
      <c r="E610" s="22"/>
      <c r="F610" s="22"/>
      <c r="G610" s="23"/>
      <c r="H610" s="24"/>
      <c r="I610" s="25"/>
      <c r="N610" s="26"/>
      <c r="O610" s="26"/>
    </row>
    <row r="611" ht="15.75" customHeight="1">
      <c r="A611" s="20"/>
      <c r="B611" s="21"/>
      <c r="C611" s="22"/>
      <c r="D611" s="22"/>
      <c r="E611" s="22"/>
      <c r="F611" s="22"/>
      <c r="G611" s="23"/>
      <c r="H611" s="24"/>
      <c r="I611" s="25"/>
      <c r="N611" s="26"/>
      <c r="O611" s="26"/>
    </row>
    <row r="612" ht="15.75" customHeight="1">
      <c r="A612" s="20"/>
      <c r="B612" s="21"/>
      <c r="C612" s="22"/>
      <c r="D612" s="22"/>
      <c r="E612" s="22"/>
      <c r="F612" s="22"/>
      <c r="G612" s="23"/>
      <c r="H612" s="24"/>
      <c r="I612" s="25"/>
      <c r="N612" s="26"/>
      <c r="O612" s="26"/>
    </row>
    <row r="613" ht="15.75" customHeight="1">
      <c r="A613" s="20"/>
      <c r="B613" s="21"/>
      <c r="C613" s="22"/>
      <c r="D613" s="22"/>
      <c r="E613" s="22"/>
      <c r="F613" s="22"/>
      <c r="G613" s="23"/>
      <c r="H613" s="24"/>
      <c r="I613" s="25"/>
      <c r="N613" s="26"/>
      <c r="O613" s="26"/>
    </row>
    <row r="614" ht="15.75" customHeight="1">
      <c r="A614" s="20"/>
      <c r="B614" s="21"/>
      <c r="C614" s="22"/>
      <c r="D614" s="22"/>
      <c r="E614" s="22"/>
      <c r="F614" s="22"/>
      <c r="G614" s="23"/>
      <c r="H614" s="24"/>
      <c r="I614" s="25"/>
      <c r="N614" s="26"/>
      <c r="O614" s="26"/>
    </row>
    <row r="615" ht="15.75" customHeight="1">
      <c r="A615" s="20"/>
      <c r="B615" s="21"/>
      <c r="C615" s="22"/>
      <c r="D615" s="22"/>
      <c r="E615" s="22"/>
      <c r="F615" s="22"/>
      <c r="G615" s="23"/>
      <c r="H615" s="24"/>
      <c r="I615" s="25"/>
      <c r="N615" s="26"/>
      <c r="O615" s="26"/>
    </row>
    <row r="616" ht="15.75" customHeight="1">
      <c r="A616" s="20"/>
      <c r="B616" s="21"/>
      <c r="C616" s="22"/>
      <c r="D616" s="22"/>
      <c r="E616" s="22"/>
      <c r="F616" s="22"/>
      <c r="G616" s="23"/>
      <c r="H616" s="24"/>
      <c r="I616" s="25"/>
      <c r="N616" s="26"/>
      <c r="O616" s="26"/>
    </row>
    <row r="617" ht="15.75" customHeight="1">
      <c r="A617" s="20"/>
      <c r="B617" s="21"/>
      <c r="C617" s="22"/>
      <c r="D617" s="22"/>
      <c r="E617" s="22"/>
      <c r="F617" s="22"/>
      <c r="G617" s="23"/>
      <c r="H617" s="24"/>
      <c r="I617" s="25"/>
      <c r="N617" s="26"/>
      <c r="O617" s="26"/>
    </row>
    <row r="618" ht="15.75" customHeight="1">
      <c r="A618" s="20"/>
      <c r="B618" s="21"/>
      <c r="C618" s="22"/>
      <c r="D618" s="22"/>
      <c r="E618" s="22"/>
      <c r="F618" s="22"/>
      <c r="G618" s="23"/>
      <c r="H618" s="24"/>
      <c r="I618" s="25"/>
      <c r="N618" s="26"/>
      <c r="O618" s="26"/>
    </row>
    <row r="619" ht="15.75" customHeight="1">
      <c r="A619" s="20"/>
      <c r="B619" s="21"/>
      <c r="C619" s="22"/>
      <c r="D619" s="22"/>
      <c r="E619" s="22"/>
      <c r="F619" s="22"/>
      <c r="G619" s="23"/>
      <c r="H619" s="24"/>
      <c r="I619" s="25"/>
      <c r="N619" s="26"/>
      <c r="O619" s="26"/>
    </row>
    <row r="620" ht="15.75" customHeight="1">
      <c r="A620" s="20"/>
      <c r="B620" s="21"/>
      <c r="C620" s="22"/>
      <c r="D620" s="22"/>
      <c r="E620" s="22"/>
      <c r="F620" s="22"/>
      <c r="G620" s="23"/>
      <c r="H620" s="24"/>
      <c r="I620" s="25"/>
      <c r="N620" s="26"/>
      <c r="O620" s="26"/>
    </row>
    <row r="621" ht="15.75" customHeight="1">
      <c r="A621" s="20"/>
      <c r="B621" s="21"/>
      <c r="C621" s="22"/>
      <c r="D621" s="22"/>
      <c r="E621" s="22"/>
      <c r="F621" s="22"/>
      <c r="G621" s="23"/>
      <c r="H621" s="24"/>
      <c r="I621" s="25"/>
      <c r="N621" s="26"/>
      <c r="O621" s="26"/>
    </row>
    <row r="622" ht="15.75" customHeight="1">
      <c r="A622" s="20"/>
      <c r="B622" s="21"/>
      <c r="C622" s="22"/>
      <c r="D622" s="22"/>
      <c r="E622" s="22"/>
      <c r="F622" s="22"/>
      <c r="G622" s="23"/>
      <c r="H622" s="24"/>
      <c r="I622" s="25"/>
      <c r="N622" s="26"/>
      <c r="O622" s="26"/>
    </row>
    <row r="623" ht="15.75" customHeight="1">
      <c r="A623" s="20"/>
      <c r="B623" s="21"/>
      <c r="C623" s="22"/>
      <c r="D623" s="22"/>
      <c r="E623" s="22"/>
      <c r="F623" s="22"/>
      <c r="G623" s="23"/>
      <c r="H623" s="24"/>
      <c r="I623" s="25"/>
      <c r="N623" s="26"/>
      <c r="O623" s="26"/>
    </row>
    <row r="624" ht="15.75" customHeight="1">
      <c r="A624" s="20"/>
      <c r="B624" s="21"/>
      <c r="C624" s="22"/>
      <c r="D624" s="22"/>
      <c r="E624" s="22"/>
      <c r="F624" s="22"/>
      <c r="G624" s="23"/>
      <c r="H624" s="24"/>
      <c r="I624" s="25"/>
      <c r="N624" s="26"/>
      <c r="O624" s="26"/>
    </row>
    <row r="625" ht="15.75" customHeight="1">
      <c r="A625" s="20"/>
      <c r="B625" s="21"/>
      <c r="C625" s="22"/>
      <c r="D625" s="22"/>
      <c r="E625" s="22"/>
      <c r="F625" s="22"/>
      <c r="G625" s="23"/>
      <c r="H625" s="24"/>
      <c r="I625" s="25"/>
      <c r="N625" s="26"/>
      <c r="O625" s="26"/>
    </row>
    <row r="626" ht="15.75" customHeight="1">
      <c r="A626" s="20"/>
      <c r="B626" s="21"/>
      <c r="C626" s="22"/>
      <c r="D626" s="22"/>
      <c r="E626" s="22"/>
      <c r="F626" s="22"/>
      <c r="G626" s="23"/>
      <c r="H626" s="24"/>
      <c r="I626" s="25"/>
      <c r="N626" s="26"/>
      <c r="O626" s="26"/>
    </row>
    <row r="627" ht="15.75" customHeight="1">
      <c r="A627" s="20"/>
      <c r="B627" s="21"/>
      <c r="C627" s="22"/>
      <c r="D627" s="22"/>
      <c r="E627" s="22"/>
      <c r="F627" s="22"/>
      <c r="G627" s="23"/>
      <c r="H627" s="24"/>
      <c r="I627" s="25"/>
      <c r="N627" s="26"/>
      <c r="O627" s="26"/>
    </row>
    <row r="628" ht="15.75" customHeight="1">
      <c r="A628" s="20"/>
      <c r="B628" s="21"/>
      <c r="C628" s="22"/>
      <c r="D628" s="22"/>
      <c r="E628" s="22"/>
      <c r="F628" s="22"/>
      <c r="G628" s="23"/>
      <c r="H628" s="24"/>
      <c r="I628" s="25"/>
      <c r="N628" s="26"/>
      <c r="O628" s="26"/>
    </row>
    <row r="629" ht="15.75" customHeight="1">
      <c r="A629" s="20"/>
      <c r="B629" s="21"/>
      <c r="C629" s="22"/>
      <c r="D629" s="22"/>
      <c r="E629" s="22"/>
      <c r="F629" s="22"/>
      <c r="G629" s="23"/>
      <c r="H629" s="24"/>
      <c r="I629" s="25"/>
      <c r="N629" s="26"/>
      <c r="O629" s="26"/>
    </row>
    <row r="630" ht="15.75" customHeight="1">
      <c r="A630" s="20"/>
      <c r="B630" s="21"/>
      <c r="C630" s="22"/>
      <c r="D630" s="22"/>
      <c r="E630" s="22"/>
      <c r="F630" s="22"/>
      <c r="G630" s="23"/>
      <c r="H630" s="24"/>
      <c r="I630" s="25"/>
      <c r="N630" s="26"/>
      <c r="O630" s="26"/>
    </row>
    <row r="631" ht="15.75" customHeight="1">
      <c r="A631" s="20"/>
      <c r="B631" s="21"/>
      <c r="C631" s="22"/>
      <c r="D631" s="22"/>
      <c r="E631" s="22"/>
      <c r="F631" s="22"/>
      <c r="G631" s="23"/>
      <c r="H631" s="24"/>
      <c r="I631" s="25"/>
      <c r="N631" s="26"/>
      <c r="O631" s="26"/>
    </row>
    <row r="632" ht="15.75" customHeight="1">
      <c r="A632" s="20"/>
      <c r="B632" s="21"/>
      <c r="C632" s="22"/>
      <c r="D632" s="22"/>
      <c r="E632" s="22"/>
      <c r="F632" s="22"/>
      <c r="G632" s="23"/>
      <c r="H632" s="24"/>
      <c r="I632" s="25"/>
      <c r="N632" s="26"/>
      <c r="O632" s="26"/>
    </row>
    <row r="633" ht="15.75" customHeight="1">
      <c r="A633" s="20"/>
      <c r="B633" s="21"/>
      <c r="C633" s="22"/>
      <c r="D633" s="22"/>
      <c r="E633" s="22"/>
      <c r="F633" s="22"/>
      <c r="G633" s="23"/>
      <c r="H633" s="24"/>
      <c r="I633" s="25"/>
      <c r="N633" s="26"/>
      <c r="O633" s="26"/>
    </row>
    <row r="634" ht="15.75" customHeight="1">
      <c r="A634" s="20"/>
      <c r="B634" s="21"/>
      <c r="C634" s="22"/>
      <c r="D634" s="22"/>
      <c r="E634" s="22"/>
      <c r="F634" s="22"/>
      <c r="G634" s="23"/>
      <c r="H634" s="24"/>
      <c r="I634" s="25"/>
      <c r="N634" s="26"/>
      <c r="O634" s="26"/>
    </row>
    <row r="635" ht="15.75" customHeight="1">
      <c r="A635" s="20"/>
      <c r="B635" s="21"/>
      <c r="C635" s="22"/>
      <c r="D635" s="22"/>
      <c r="E635" s="22"/>
      <c r="F635" s="22"/>
      <c r="G635" s="23"/>
      <c r="H635" s="24"/>
      <c r="I635" s="25"/>
      <c r="N635" s="26"/>
      <c r="O635" s="26"/>
    </row>
    <row r="636" ht="15.75" customHeight="1">
      <c r="A636" s="20"/>
      <c r="B636" s="21"/>
      <c r="C636" s="22"/>
      <c r="D636" s="22"/>
      <c r="E636" s="22"/>
      <c r="F636" s="22"/>
      <c r="G636" s="23"/>
      <c r="H636" s="24"/>
      <c r="I636" s="25"/>
      <c r="N636" s="26"/>
      <c r="O636" s="26"/>
    </row>
    <row r="637" ht="15.75" customHeight="1">
      <c r="A637" s="20"/>
      <c r="B637" s="21"/>
      <c r="C637" s="22"/>
      <c r="D637" s="22"/>
      <c r="E637" s="22"/>
      <c r="F637" s="22"/>
      <c r="G637" s="23"/>
      <c r="H637" s="24"/>
      <c r="I637" s="25"/>
      <c r="N637" s="26"/>
      <c r="O637" s="26"/>
    </row>
    <row r="638" ht="15.75" customHeight="1">
      <c r="A638" s="20"/>
      <c r="B638" s="21"/>
      <c r="C638" s="22"/>
      <c r="D638" s="22"/>
      <c r="E638" s="22"/>
      <c r="F638" s="22"/>
      <c r="G638" s="23"/>
      <c r="H638" s="24"/>
      <c r="I638" s="25"/>
      <c r="N638" s="26"/>
      <c r="O638" s="26"/>
    </row>
    <row r="639" ht="15.75" customHeight="1">
      <c r="A639" s="20"/>
      <c r="B639" s="21"/>
      <c r="C639" s="22"/>
      <c r="D639" s="22"/>
      <c r="E639" s="22"/>
      <c r="F639" s="22"/>
      <c r="G639" s="23"/>
      <c r="H639" s="24"/>
      <c r="I639" s="25"/>
      <c r="N639" s="26"/>
      <c r="O639" s="26"/>
    </row>
    <row r="640" ht="15.75" customHeight="1">
      <c r="A640" s="20"/>
      <c r="B640" s="21"/>
      <c r="C640" s="22"/>
      <c r="D640" s="22"/>
      <c r="E640" s="22"/>
      <c r="F640" s="22"/>
      <c r="G640" s="23"/>
      <c r="H640" s="24"/>
      <c r="I640" s="25"/>
      <c r="N640" s="26"/>
      <c r="O640" s="26"/>
    </row>
    <row r="641" ht="15.75" customHeight="1">
      <c r="A641" s="20"/>
      <c r="B641" s="21"/>
      <c r="C641" s="22"/>
      <c r="D641" s="22"/>
      <c r="E641" s="22"/>
      <c r="F641" s="22"/>
      <c r="G641" s="23"/>
      <c r="H641" s="24"/>
      <c r="I641" s="25"/>
      <c r="N641" s="26"/>
      <c r="O641" s="26"/>
    </row>
    <row r="642" ht="15.75" customHeight="1">
      <c r="A642" s="20"/>
      <c r="B642" s="21"/>
      <c r="C642" s="22"/>
      <c r="D642" s="22"/>
      <c r="E642" s="22"/>
      <c r="F642" s="22"/>
      <c r="G642" s="23"/>
      <c r="H642" s="24"/>
      <c r="I642" s="25"/>
      <c r="N642" s="26"/>
      <c r="O642" s="26"/>
    </row>
    <row r="643" ht="15.75" customHeight="1">
      <c r="A643" s="20"/>
      <c r="B643" s="21"/>
      <c r="C643" s="22"/>
      <c r="D643" s="22"/>
      <c r="E643" s="22"/>
      <c r="F643" s="22"/>
      <c r="G643" s="23"/>
      <c r="H643" s="24"/>
      <c r="I643" s="25"/>
      <c r="N643" s="26"/>
      <c r="O643" s="26"/>
    </row>
    <row r="644" ht="15.75" customHeight="1">
      <c r="A644" s="20"/>
      <c r="B644" s="21"/>
      <c r="C644" s="22"/>
      <c r="D644" s="22"/>
      <c r="E644" s="22"/>
      <c r="F644" s="22"/>
      <c r="G644" s="23"/>
      <c r="H644" s="24"/>
      <c r="I644" s="25"/>
      <c r="N644" s="26"/>
      <c r="O644" s="26"/>
    </row>
    <row r="645" ht="15.75" customHeight="1">
      <c r="A645" s="20"/>
      <c r="B645" s="21"/>
      <c r="C645" s="22"/>
      <c r="D645" s="22"/>
      <c r="E645" s="22"/>
      <c r="F645" s="22"/>
      <c r="G645" s="23"/>
      <c r="H645" s="24"/>
      <c r="I645" s="25"/>
      <c r="N645" s="26"/>
      <c r="O645" s="26"/>
    </row>
    <row r="646" ht="15.75" customHeight="1">
      <c r="A646" s="20"/>
      <c r="B646" s="21"/>
      <c r="C646" s="22"/>
      <c r="D646" s="22"/>
      <c r="E646" s="22"/>
      <c r="F646" s="22"/>
      <c r="G646" s="23"/>
      <c r="H646" s="24"/>
      <c r="I646" s="25"/>
      <c r="N646" s="26"/>
      <c r="O646" s="26"/>
    </row>
    <row r="647" ht="15.75" customHeight="1">
      <c r="A647" s="20"/>
      <c r="B647" s="21"/>
      <c r="C647" s="22"/>
      <c r="D647" s="22"/>
      <c r="E647" s="22"/>
      <c r="F647" s="22"/>
      <c r="G647" s="23"/>
      <c r="H647" s="24"/>
      <c r="I647" s="25"/>
      <c r="N647" s="26"/>
      <c r="O647" s="26"/>
    </row>
    <row r="648" ht="15.75" customHeight="1">
      <c r="A648" s="20"/>
      <c r="B648" s="21"/>
      <c r="C648" s="22"/>
      <c r="D648" s="22"/>
      <c r="E648" s="22"/>
      <c r="F648" s="22"/>
      <c r="G648" s="23"/>
      <c r="H648" s="24"/>
      <c r="I648" s="25"/>
      <c r="N648" s="26"/>
      <c r="O648" s="26"/>
    </row>
    <row r="649" ht="15.75" customHeight="1">
      <c r="A649" s="20"/>
      <c r="B649" s="21"/>
      <c r="C649" s="22"/>
      <c r="D649" s="22"/>
      <c r="E649" s="22"/>
      <c r="F649" s="22"/>
      <c r="G649" s="23"/>
      <c r="H649" s="24"/>
      <c r="I649" s="25"/>
      <c r="N649" s="26"/>
      <c r="O649" s="26"/>
    </row>
    <row r="650" ht="15.75" customHeight="1">
      <c r="A650" s="20"/>
      <c r="B650" s="21"/>
      <c r="C650" s="22"/>
      <c r="D650" s="22"/>
      <c r="E650" s="22"/>
      <c r="F650" s="22"/>
      <c r="G650" s="23"/>
      <c r="H650" s="24"/>
      <c r="I650" s="25"/>
      <c r="N650" s="26"/>
      <c r="O650" s="26"/>
    </row>
    <row r="651" ht="15.75" customHeight="1">
      <c r="A651" s="20"/>
      <c r="B651" s="21"/>
      <c r="C651" s="22"/>
      <c r="D651" s="22"/>
      <c r="E651" s="22"/>
      <c r="F651" s="22"/>
      <c r="G651" s="23"/>
      <c r="H651" s="24"/>
      <c r="I651" s="25"/>
      <c r="N651" s="26"/>
      <c r="O651" s="26"/>
    </row>
    <row r="652" ht="15.75" customHeight="1">
      <c r="A652" s="20"/>
      <c r="B652" s="21"/>
      <c r="C652" s="22"/>
      <c r="D652" s="22"/>
      <c r="E652" s="22"/>
      <c r="F652" s="22"/>
      <c r="G652" s="23"/>
      <c r="H652" s="24"/>
      <c r="I652" s="25"/>
      <c r="N652" s="26"/>
      <c r="O652" s="26"/>
    </row>
    <row r="653" ht="15.75" customHeight="1">
      <c r="A653" s="20"/>
      <c r="B653" s="21"/>
      <c r="C653" s="22"/>
      <c r="D653" s="22"/>
      <c r="E653" s="22"/>
      <c r="F653" s="22"/>
      <c r="G653" s="23"/>
      <c r="H653" s="24"/>
      <c r="I653" s="25"/>
      <c r="N653" s="26"/>
      <c r="O653" s="26"/>
    </row>
    <row r="654" ht="15.75" customHeight="1">
      <c r="A654" s="20"/>
      <c r="B654" s="21"/>
      <c r="C654" s="22"/>
      <c r="D654" s="22"/>
      <c r="E654" s="22"/>
      <c r="F654" s="22"/>
      <c r="G654" s="23"/>
      <c r="H654" s="24"/>
      <c r="I654" s="25"/>
      <c r="N654" s="26"/>
      <c r="O654" s="26"/>
    </row>
    <row r="655" ht="15.75" customHeight="1">
      <c r="A655" s="20"/>
      <c r="B655" s="21"/>
      <c r="C655" s="22"/>
      <c r="D655" s="22"/>
      <c r="E655" s="22"/>
      <c r="F655" s="22"/>
      <c r="G655" s="23"/>
      <c r="H655" s="24"/>
      <c r="I655" s="25"/>
      <c r="N655" s="26"/>
      <c r="O655" s="26"/>
    </row>
    <row r="656" ht="15.75" customHeight="1">
      <c r="A656" s="20"/>
      <c r="B656" s="21"/>
      <c r="C656" s="22"/>
      <c r="D656" s="22"/>
      <c r="E656" s="22"/>
      <c r="F656" s="22"/>
      <c r="G656" s="23"/>
      <c r="H656" s="24"/>
      <c r="I656" s="25"/>
      <c r="N656" s="26"/>
      <c r="O656" s="26"/>
    </row>
    <row r="657" ht="15.75" customHeight="1">
      <c r="A657" s="20"/>
      <c r="B657" s="21"/>
      <c r="C657" s="22"/>
      <c r="D657" s="22"/>
      <c r="E657" s="22"/>
      <c r="F657" s="22"/>
      <c r="G657" s="23"/>
      <c r="H657" s="24"/>
      <c r="I657" s="25"/>
      <c r="N657" s="26"/>
      <c r="O657" s="26"/>
    </row>
    <row r="658" ht="15.75" customHeight="1">
      <c r="A658" s="20"/>
      <c r="B658" s="21"/>
      <c r="C658" s="22"/>
      <c r="D658" s="22"/>
      <c r="E658" s="22"/>
      <c r="F658" s="22"/>
      <c r="G658" s="23"/>
      <c r="H658" s="24"/>
      <c r="I658" s="25"/>
      <c r="N658" s="26"/>
      <c r="O658" s="26"/>
    </row>
    <row r="659" ht="15.75" customHeight="1">
      <c r="A659" s="20"/>
      <c r="B659" s="21"/>
      <c r="C659" s="22"/>
      <c r="D659" s="22"/>
      <c r="E659" s="22"/>
      <c r="F659" s="22"/>
      <c r="G659" s="23"/>
      <c r="H659" s="24"/>
      <c r="I659" s="25"/>
      <c r="N659" s="26"/>
      <c r="O659" s="26"/>
    </row>
    <row r="660" ht="15.75" customHeight="1">
      <c r="A660" s="20"/>
      <c r="B660" s="21"/>
      <c r="C660" s="22"/>
      <c r="D660" s="22"/>
      <c r="E660" s="22"/>
      <c r="F660" s="22"/>
      <c r="G660" s="23"/>
      <c r="H660" s="24"/>
      <c r="I660" s="25"/>
      <c r="N660" s="26"/>
      <c r="O660" s="26"/>
    </row>
    <row r="661" ht="15.75" customHeight="1">
      <c r="A661" s="20"/>
      <c r="B661" s="21"/>
      <c r="C661" s="22"/>
      <c r="D661" s="22"/>
      <c r="E661" s="22"/>
      <c r="F661" s="22"/>
      <c r="G661" s="23"/>
      <c r="H661" s="24"/>
      <c r="I661" s="25"/>
      <c r="N661" s="26"/>
      <c r="O661" s="26"/>
    </row>
    <row r="662" ht="15.75" customHeight="1">
      <c r="A662" s="20"/>
      <c r="B662" s="21"/>
      <c r="C662" s="22"/>
      <c r="D662" s="22"/>
      <c r="E662" s="22"/>
      <c r="F662" s="22"/>
      <c r="G662" s="23"/>
      <c r="H662" s="24"/>
      <c r="I662" s="25"/>
      <c r="N662" s="26"/>
      <c r="O662" s="26"/>
    </row>
    <row r="663" ht="15.75" customHeight="1">
      <c r="A663" s="20"/>
      <c r="B663" s="21"/>
      <c r="C663" s="22"/>
      <c r="D663" s="22"/>
      <c r="E663" s="22"/>
      <c r="F663" s="22"/>
      <c r="G663" s="23"/>
      <c r="H663" s="24"/>
      <c r="I663" s="25"/>
      <c r="N663" s="26"/>
      <c r="O663" s="26"/>
    </row>
    <row r="664" ht="15.75" customHeight="1">
      <c r="A664" s="20"/>
      <c r="B664" s="21"/>
      <c r="C664" s="22"/>
      <c r="D664" s="22"/>
      <c r="E664" s="22"/>
      <c r="F664" s="22"/>
      <c r="G664" s="23"/>
      <c r="H664" s="24"/>
      <c r="I664" s="25"/>
      <c r="N664" s="26"/>
      <c r="O664" s="26"/>
    </row>
    <row r="665" ht="15.75" customHeight="1">
      <c r="A665" s="20"/>
      <c r="B665" s="21"/>
      <c r="C665" s="22"/>
      <c r="D665" s="22"/>
      <c r="E665" s="22"/>
      <c r="F665" s="22"/>
      <c r="G665" s="23"/>
      <c r="H665" s="24"/>
      <c r="I665" s="25"/>
      <c r="N665" s="26"/>
      <c r="O665" s="26"/>
    </row>
    <row r="666" ht="15.75" customHeight="1">
      <c r="A666" s="20"/>
      <c r="B666" s="21"/>
      <c r="C666" s="22"/>
      <c r="D666" s="22"/>
      <c r="E666" s="22"/>
      <c r="F666" s="22"/>
      <c r="G666" s="23"/>
      <c r="H666" s="24"/>
      <c r="I666" s="25"/>
      <c r="N666" s="26"/>
      <c r="O666" s="26"/>
    </row>
    <row r="667" ht="15.75" customHeight="1">
      <c r="A667" s="20"/>
      <c r="B667" s="21"/>
      <c r="C667" s="22"/>
      <c r="D667" s="22"/>
      <c r="E667" s="22"/>
      <c r="F667" s="22"/>
      <c r="G667" s="23"/>
      <c r="H667" s="24"/>
      <c r="I667" s="25"/>
      <c r="N667" s="26"/>
      <c r="O667" s="26"/>
    </row>
    <row r="668" ht="15.75" customHeight="1">
      <c r="A668" s="20"/>
      <c r="B668" s="21"/>
      <c r="C668" s="22"/>
      <c r="D668" s="22"/>
      <c r="E668" s="22"/>
      <c r="F668" s="22"/>
      <c r="G668" s="23"/>
      <c r="H668" s="24"/>
      <c r="I668" s="25"/>
      <c r="N668" s="26"/>
      <c r="O668" s="26"/>
    </row>
    <row r="669" ht="15.75" customHeight="1">
      <c r="A669" s="20"/>
      <c r="B669" s="21"/>
      <c r="C669" s="22"/>
      <c r="D669" s="22"/>
      <c r="E669" s="22"/>
      <c r="F669" s="22"/>
      <c r="G669" s="23"/>
      <c r="H669" s="24"/>
      <c r="I669" s="25"/>
      <c r="N669" s="26"/>
      <c r="O669" s="26"/>
    </row>
    <row r="670" ht="15.75" customHeight="1">
      <c r="A670" s="20"/>
      <c r="B670" s="21"/>
      <c r="C670" s="22"/>
      <c r="D670" s="22"/>
      <c r="E670" s="22"/>
      <c r="F670" s="22"/>
      <c r="G670" s="23"/>
      <c r="H670" s="24"/>
      <c r="I670" s="25"/>
      <c r="N670" s="26"/>
      <c r="O670" s="26"/>
    </row>
    <row r="671" ht="15.75" customHeight="1">
      <c r="A671" s="20"/>
      <c r="B671" s="21"/>
      <c r="C671" s="22"/>
      <c r="D671" s="22"/>
      <c r="E671" s="22"/>
      <c r="F671" s="22"/>
      <c r="G671" s="23"/>
      <c r="H671" s="24"/>
      <c r="I671" s="25"/>
      <c r="N671" s="26"/>
      <c r="O671" s="26"/>
    </row>
    <row r="672" ht="15.75" customHeight="1">
      <c r="A672" s="20"/>
      <c r="B672" s="21"/>
      <c r="C672" s="22"/>
      <c r="D672" s="22"/>
      <c r="E672" s="22"/>
      <c r="F672" s="22"/>
      <c r="G672" s="23"/>
      <c r="H672" s="24"/>
      <c r="I672" s="25"/>
      <c r="N672" s="26"/>
      <c r="O672" s="26"/>
    </row>
    <row r="673" ht="15.75" customHeight="1">
      <c r="A673" s="20"/>
      <c r="B673" s="21"/>
      <c r="C673" s="22"/>
      <c r="D673" s="22"/>
      <c r="E673" s="22"/>
      <c r="F673" s="22"/>
      <c r="G673" s="23"/>
      <c r="H673" s="24"/>
      <c r="I673" s="25"/>
      <c r="N673" s="26"/>
      <c r="O673" s="26"/>
    </row>
    <row r="674" ht="15.75" customHeight="1">
      <c r="A674" s="20"/>
      <c r="B674" s="21"/>
      <c r="C674" s="22"/>
      <c r="D674" s="22"/>
      <c r="E674" s="22"/>
      <c r="F674" s="22"/>
      <c r="G674" s="23"/>
      <c r="H674" s="24"/>
      <c r="I674" s="25"/>
      <c r="N674" s="26"/>
      <c r="O674" s="26"/>
    </row>
    <row r="675" ht="15.75" customHeight="1">
      <c r="A675" s="20"/>
      <c r="B675" s="21"/>
      <c r="C675" s="22"/>
      <c r="D675" s="22"/>
      <c r="E675" s="22"/>
      <c r="F675" s="22"/>
      <c r="G675" s="23"/>
      <c r="H675" s="24"/>
      <c r="I675" s="25"/>
      <c r="N675" s="26"/>
      <c r="O675" s="26"/>
    </row>
    <row r="676" ht="15.75" customHeight="1">
      <c r="A676" s="20"/>
      <c r="B676" s="21"/>
      <c r="C676" s="22"/>
      <c r="D676" s="22"/>
      <c r="E676" s="22"/>
      <c r="F676" s="22"/>
      <c r="G676" s="23"/>
      <c r="H676" s="24"/>
      <c r="I676" s="25"/>
      <c r="N676" s="26"/>
      <c r="O676" s="26"/>
    </row>
    <row r="677" ht="15.75" customHeight="1">
      <c r="A677" s="20"/>
      <c r="B677" s="21"/>
      <c r="C677" s="22"/>
      <c r="D677" s="22"/>
      <c r="E677" s="22"/>
      <c r="F677" s="22"/>
      <c r="G677" s="23"/>
      <c r="H677" s="24"/>
      <c r="I677" s="25"/>
      <c r="N677" s="26"/>
      <c r="O677" s="26"/>
    </row>
    <row r="678" ht="15.75" customHeight="1">
      <c r="A678" s="20"/>
      <c r="B678" s="21"/>
      <c r="C678" s="22"/>
      <c r="D678" s="22"/>
      <c r="E678" s="22"/>
      <c r="F678" s="22"/>
      <c r="G678" s="23"/>
      <c r="H678" s="24"/>
      <c r="I678" s="25"/>
      <c r="N678" s="26"/>
      <c r="O678" s="26"/>
    </row>
    <row r="679" ht="15.75" customHeight="1">
      <c r="A679" s="20"/>
      <c r="B679" s="21"/>
      <c r="C679" s="22"/>
      <c r="D679" s="22"/>
      <c r="E679" s="22"/>
      <c r="F679" s="22"/>
      <c r="G679" s="23"/>
      <c r="H679" s="24"/>
      <c r="I679" s="25"/>
      <c r="N679" s="26"/>
      <c r="O679" s="26"/>
    </row>
    <row r="680" ht="15.75" customHeight="1">
      <c r="A680" s="20"/>
      <c r="B680" s="21"/>
      <c r="C680" s="22"/>
      <c r="D680" s="22"/>
      <c r="E680" s="22"/>
      <c r="F680" s="22"/>
      <c r="G680" s="23"/>
      <c r="H680" s="24"/>
      <c r="I680" s="25"/>
      <c r="N680" s="26"/>
      <c r="O680" s="26"/>
    </row>
    <row r="681" ht="15.75" customHeight="1">
      <c r="A681" s="20"/>
      <c r="B681" s="21"/>
      <c r="C681" s="22"/>
      <c r="D681" s="22"/>
      <c r="E681" s="22"/>
      <c r="F681" s="22"/>
      <c r="G681" s="23"/>
      <c r="H681" s="24"/>
      <c r="I681" s="25"/>
      <c r="N681" s="26"/>
      <c r="O681" s="26"/>
    </row>
    <row r="682" ht="15.75" customHeight="1">
      <c r="A682" s="20"/>
      <c r="B682" s="21"/>
      <c r="C682" s="22"/>
      <c r="D682" s="22"/>
      <c r="E682" s="22"/>
      <c r="F682" s="22"/>
      <c r="G682" s="23"/>
      <c r="H682" s="24"/>
      <c r="I682" s="25"/>
      <c r="N682" s="26"/>
      <c r="O682" s="26"/>
    </row>
    <row r="683" ht="15.75" customHeight="1">
      <c r="A683" s="20"/>
      <c r="B683" s="21"/>
      <c r="C683" s="22"/>
      <c r="D683" s="22"/>
      <c r="E683" s="22"/>
      <c r="F683" s="22"/>
      <c r="G683" s="23"/>
      <c r="H683" s="24"/>
      <c r="I683" s="25"/>
      <c r="N683" s="26"/>
      <c r="O683" s="26"/>
    </row>
    <row r="684" ht="15.75" customHeight="1">
      <c r="A684" s="20"/>
      <c r="B684" s="21"/>
      <c r="C684" s="22"/>
      <c r="D684" s="22"/>
      <c r="E684" s="22"/>
      <c r="F684" s="22"/>
      <c r="G684" s="23"/>
      <c r="H684" s="24"/>
      <c r="I684" s="25"/>
      <c r="N684" s="26"/>
      <c r="O684" s="26"/>
    </row>
    <row r="685" ht="15.75" customHeight="1">
      <c r="A685" s="20"/>
      <c r="B685" s="21"/>
      <c r="C685" s="22"/>
      <c r="D685" s="22"/>
      <c r="E685" s="22"/>
      <c r="F685" s="22"/>
      <c r="G685" s="23"/>
      <c r="H685" s="24"/>
      <c r="I685" s="25"/>
      <c r="N685" s="26"/>
      <c r="O685" s="26"/>
    </row>
    <row r="686" ht="15.75" customHeight="1">
      <c r="A686" s="20"/>
      <c r="B686" s="21"/>
      <c r="C686" s="22"/>
      <c r="D686" s="22"/>
      <c r="E686" s="22"/>
      <c r="F686" s="22"/>
      <c r="G686" s="23"/>
      <c r="H686" s="24"/>
      <c r="I686" s="25"/>
      <c r="N686" s="26"/>
      <c r="O686" s="26"/>
    </row>
    <row r="687" ht="15.75" customHeight="1">
      <c r="A687" s="20"/>
      <c r="B687" s="21"/>
      <c r="C687" s="22"/>
      <c r="D687" s="22"/>
      <c r="E687" s="22"/>
      <c r="F687" s="22"/>
      <c r="G687" s="23"/>
      <c r="H687" s="24"/>
      <c r="I687" s="25"/>
      <c r="N687" s="26"/>
      <c r="O687" s="26"/>
    </row>
    <row r="688" ht="15.75" customHeight="1">
      <c r="A688" s="20"/>
      <c r="B688" s="21"/>
      <c r="C688" s="22"/>
      <c r="D688" s="22"/>
      <c r="E688" s="22"/>
      <c r="F688" s="22"/>
      <c r="G688" s="23"/>
      <c r="H688" s="24"/>
      <c r="I688" s="25"/>
      <c r="N688" s="26"/>
      <c r="O688" s="26"/>
    </row>
    <row r="689" ht="15.75" customHeight="1">
      <c r="A689" s="20"/>
      <c r="B689" s="21"/>
      <c r="C689" s="22"/>
      <c r="D689" s="22"/>
      <c r="E689" s="22"/>
      <c r="F689" s="22"/>
      <c r="G689" s="23"/>
      <c r="H689" s="24"/>
      <c r="I689" s="25"/>
      <c r="N689" s="26"/>
      <c r="O689" s="26"/>
    </row>
    <row r="690" ht="15.75" customHeight="1">
      <c r="A690" s="20"/>
      <c r="B690" s="21"/>
      <c r="C690" s="22"/>
      <c r="D690" s="22"/>
      <c r="E690" s="22"/>
      <c r="F690" s="22"/>
      <c r="G690" s="23"/>
      <c r="H690" s="24"/>
      <c r="I690" s="25"/>
      <c r="N690" s="26"/>
      <c r="O690" s="26"/>
    </row>
    <row r="691" ht="15.75" customHeight="1">
      <c r="A691" s="20"/>
      <c r="B691" s="21"/>
      <c r="C691" s="22"/>
      <c r="D691" s="22"/>
      <c r="E691" s="22"/>
      <c r="F691" s="22"/>
      <c r="G691" s="23"/>
      <c r="H691" s="24"/>
      <c r="I691" s="25"/>
      <c r="N691" s="26"/>
      <c r="O691" s="26"/>
    </row>
    <row r="692" ht="15.75" customHeight="1">
      <c r="A692" s="20"/>
      <c r="B692" s="21"/>
      <c r="C692" s="22"/>
      <c r="D692" s="22"/>
      <c r="E692" s="22"/>
      <c r="F692" s="22"/>
      <c r="G692" s="23"/>
      <c r="H692" s="24"/>
      <c r="I692" s="25"/>
      <c r="N692" s="26"/>
      <c r="O692" s="26"/>
    </row>
    <row r="693" ht="15.75" customHeight="1">
      <c r="A693" s="20"/>
      <c r="B693" s="21"/>
      <c r="C693" s="22"/>
      <c r="D693" s="22"/>
      <c r="E693" s="22"/>
      <c r="F693" s="22"/>
      <c r="G693" s="23"/>
      <c r="H693" s="24"/>
      <c r="I693" s="25"/>
      <c r="N693" s="26"/>
      <c r="O693" s="26"/>
    </row>
    <row r="694" ht="15.75" customHeight="1">
      <c r="A694" s="20"/>
      <c r="B694" s="21"/>
      <c r="C694" s="22"/>
      <c r="D694" s="22"/>
      <c r="E694" s="22"/>
      <c r="F694" s="22"/>
      <c r="G694" s="23"/>
      <c r="H694" s="24"/>
      <c r="I694" s="25"/>
      <c r="N694" s="26"/>
      <c r="O694" s="26"/>
    </row>
    <row r="695" ht="15.75" customHeight="1">
      <c r="A695" s="20"/>
      <c r="B695" s="21"/>
      <c r="C695" s="22"/>
      <c r="D695" s="22"/>
      <c r="E695" s="22"/>
      <c r="F695" s="22"/>
      <c r="G695" s="23"/>
      <c r="H695" s="24"/>
      <c r="I695" s="25"/>
      <c r="N695" s="26"/>
      <c r="O695" s="26"/>
    </row>
    <row r="696" ht="15.75" customHeight="1">
      <c r="A696" s="20"/>
      <c r="B696" s="21"/>
      <c r="C696" s="22"/>
      <c r="D696" s="22"/>
      <c r="E696" s="22"/>
      <c r="F696" s="22"/>
      <c r="G696" s="23"/>
      <c r="H696" s="24"/>
      <c r="I696" s="25"/>
      <c r="N696" s="26"/>
      <c r="O696" s="26"/>
    </row>
    <row r="697" ht="15.75" customHeight="1">
      <c r="A697" s="20"/>
      <c r="B697" s="21"/>
      <c r="C697" s="22"/>
      <c r="D697" s="22"/>
      <c r="E697" s="22"/>
      <c r="F697" s="22"/>
      <c r="G697" s="23"/>
      <c r="H697" s="24"/>
      <c r="I697" s="25"/>
      <c r="N697" s="26"/>
      <c r="O697" s="26"/>
    </row>
    <row r="698" ht="15.75" customHeight="1">
      <c r="A698" s="20"/>
      <c r="B698" s="21"/>
      <c r="C698" s="22"/>
      <c r="D698" s="22"/>
      <c r="E698" s="22"/>
      <c r="F698" s="22"/>
      <c r="G698" s="23"/>
      <c r="H698" s="24"/>
      <c r="I698" s="25"/>
      <c r="N698" s="26"/>
      <c r="O698" s="26"/>
    </row>
    <row r="699" ht="15.75" customHeight="1">
      <c r="A699" s="20"/>
      <c r="B699" s="21"/>
      <c r="C699" s="22"/>
      <c r="D699" s="22"/>
      <c r="E699" s="22"/>
      <c r="F699" s="22"/>
      <c r="G699" s="23"/>
      <c r="H699" s="24"/>
      <c r="I699" s="25"/>
      <c r="N699" s="26"/>
      <c r="O699" s="26"/>
    </row>
    <row r="700" ht="15.75" customHeight="1">
      <c r="A700" s="20"/>
      <c r="B700" s="21"/>
      <c r="C700" s="22"/>
      <c r="D700" s="22"/>
      <c r="E700" s="22"/>
      <c r="F700" s="22"/>
      <c r="G700" s="23"/>
      <c r="H700" s="24"/>
      <c r="I700" s="25"/>
      <c r="N700" s="26"/>
      <c r="O700" s="26"/>
    </row>
    <row r="701" ht="15.75" customHeight="1">
      <c r="A701" s="20"/>
      <c r="B701" s="21"/>
      <c r="C701" s="22"/>
      <c r="D701" s="22"/>
      <c r="E701" s="22"/>
      <c r="F701" s="22"/>
      <c r="G701" s="23"/>
      <c r="H701" s="24"/>
      <c r="I701" s="25"/>
      <c r="N701" s="26"/>
      <c r="O701" s="26"/>
    </row>
    <row r="702" ht="15.75" customHeight="1">
      <c r="A702" s="20"/>
      <c r="B702" s="21"/>
      <c r="C702" s="22"/>
      <c r="D702" s="22"/>
      <c r="E702" s="22"/>
      <c r="F702" s="22"/>
      <c r="G702" s="23"/>
      <c r="H702" s="24"/>
      <c r="I702" s="25"/>
      <c r="N702" s="26"/>
      <c r="O702" s="26"/>
    </row>
    <row r="703" ht="15.75" customHeight="1">
      <c r="A703" s="20"/>
      <c r="B703" s="21"/>
      <c r="C703" s="22"/>
      <c r="D703" s="22"/>
      <c r="E703" s="22"/>
      <c r="F703" s="22"/>
      <c r="G703" s="23"/>
      <c r="H703" s="24"/>
      <c r="I703" s="25"/>
      <c r="N703" s="26"/>
      <c r="O703" s="26"/>
    </row>
    <row r="704" ht="15.75" customHeight="1">
      <c r="A704" s="20"/>
      <c r="B704" s="21"/>
      <c r="C704" s="22"/>
      <c r="D704" s="22"/>
      <c r="E704" s="22"/>
      <c r="F704" s="22"/>
      <c r="G704" s="23"/>
      <c r="H704" s="24"/>
      <c r="I704" s="25"/>
      <c r="N704" s="26"/>
      <c r="O704" s="26"/>
    </row>
    <row r="705" ht="15.75" customHeight="1">
      <c r="A705" s="20"/>
      <c r="B705" s="21"/>
      <c r="C705" s="22"/>
      <c r="D705" s="22"/>
      <c r="E705" s="22"/>
      <c r="F705" s="22"/>
      <c r="G705" s="23"/>
      <c r="H705" s="24"/>
      <c r="I705" s="25"/>
      <c r="N705" s="26"/>
      <c r="O705" s="26"/>
    </row>
    <row r="706" ht="15.75" customHeight="1">
      <c r="A706" s="20"/>
      <c r="B706" s="21"/>
      <c r="C706" s="22"/>
      <c r="D706" s="22"/>
      <c r="E706" s="22"/>
      <c r="F706" s="22"/>
      <c r="G706" s="23"/>
      <c r="H706" s="24"/>
      <c r="I706" s="25"/>
      <c r="N706" s="26"/>
      <c r="O706" s="26"/>
    </row>
    <row r="707" ht="15.75" customHeight="1">
      <c r="A707" s="20"/>
      <c r="B707" s="21"/>
      <c r="C707" s="22"/>
      <c r="D707" s="22"/>
      <c r="E707" s="22"/>
      <c r="F707" s="22"/>
      <c r="G707" s="23"/>
      <c r="H707" s="24"/>
      <c r="I707" s="25"/>
      <c r="N707" s="26"/>
      <c r="O707" s="26"/>
    </row>
    <row r="708" ht="15.75" customHeight="1">
      <c r="A708" s="20"/>
      <c r="B708" s="21"/>
      <c r="C708" s="22"/>
      <c r="D708" s="22"/>
      <c r="E708" s="22"/>
      <c r="F708" s="22"/>
      <c r="G708" s="23"/>
      <c r="H708" s="24"/>
      <c r="I708" s="25"/>
      <c r="N708" s="26"/>
      <c r="O708" s="26"/>
    </row>
    <row r="709" ht="15.75" customHeight="1">
      <c r="A709" s="20"/>
      <c r="B709" s="21"/>
      <c r="C709" s="22"/>
      <c r="D709" s="22"/>
      <c r="E709" s="22"/>
      <c r="F709" s="22"/>
      <c r="G709" s="23"/>
      <c r="H709" s="24"/>
      <c r="I709" s="25"/>
      <c r="N709" s="26"/>
      <c r="O709" s="26"/>
    </row>
    <row r="710" ht="15.75" customHeight="1">
      <c r="A710" s="20"/>
      <c r="B710" s="21"/>
      <c r="C710" s="22"/>
      <c r="D710" s="22"/>
      <c r="E710" s="22"/>
      <c r="F710" s="22"/>
      <c r="G710" s="23"/>
      <c r="H710" s="24"/>
      <c r="I710" s="25"/>
      <c r="N710" s="26"/>
      <c r="O710" s="26"/>
    </row>
    <row r="711" ht="15.75" customHeight="1">
      <c r="A711" s="20"/>
      <c r="B711" s="21"/>
      <c r="C711" s="22"/>
      <c r="D711" s="22"/>
      <c r="E711" s="22"/>
      <c r="F711" s="22"/>
      <c r="G711" s="23"/>
      <c r="H711" s="24"/>
      <c r="I711" s="25"/>
      <c r="N711" s="26"/>
      <c r="O711" s="26"/>
    </row>
    <row r="712" ht="15.75" customHeight="1">
      <c r="A712" s="20"/>
      <c r="B712" s="21"/>
      <c r="C712" s="22"/>
      <c r="D712" s="22"/>
      <c r="E712" s="22"/>
      <c r="F712" s="22"/>
      <c r="G712" s="23"/>
      <c r="H712" s="24"/>
      <c r="I712" s="25"/>
      <c r="N712" s="26"/>
      <c r="O712" s="26"/>
    </row>
    <row r="713" ht="15.75" customHeight="1">
      <c r="A713" s="20"/>
      <c r="B713" s="21"/>
      <c r="C713" s="22"/>
      <c r="D713" s="22"/>
      <c r="E713" s="22"/>
      <c r="F713" s="22"/>
      <c r="G713" s="23"/>
      <c r="H713" s="24"/>
      <c r="I713" s="25"/>
      <c r="N713" s="26"/>
      <c r="O713" s="26"/>
    </row>
    <row r="714" ht="15.75" customHeight="1">
      <c r="A714" s="20"/>
      <c r="B714" s="21"/>
      <c r="C714" s="22"/>
      <c r="D714" s="22"/>
      <c r="E714" s="22"/>
      <c r="F714" s="22"/>
      <c r="G714" s="23"/>
      <c r="H714" s="24"/>
      <c r="I714" s="25"/>
      <c r="N714" s="26"/>
      <c r="O714" s="26"/>
    </row>
    <row r="715" ht="15.75" customHeight="1">
      <c r="A715" s="20"/>
      <c r="B715" s="21"/>
      <c r="C715" s="22"/>
      <c r="D715" s="22"/>
      <c r="E715" s="22"/>
      <c r="F715" s="22"/>
      <c r="G715" s="23"/>
      <c r="H715" s="24"/>
      <c r="I715" s="25"/>
      <c r="N715" s="26"/>
      <c r="O715" s="26"/>
    </row>
    <row r="716" ht="15.75" customHeight="1">
      <c r="A716" s="20"/>
      <c r="B716" s="21"/>
      <c r="C716" s="22"/>
      <c r="D716" s="22"/>
      <c r="E716" s="22"/>
      <c r="F716" s="22"/>
      <c r="G716" s="23"/>
      <c r="H716" s="24"/>
      <c r="I716" s="25"/>
      <c r="N716" s="26"/>
      <c r="O716" s="26"/>
    </row>
    <row r="717" ht="15.75" customHeight="1">
      <c r="A717" s="20"/>
      <c r="B717" s="21"/>
      <c r="C717" s="22"/>
      <c r="D717" s="22"/>
      <c r="E717" s="22"/>
      <c r="F717" s="22"/>
      <c r="G717" s="23"/>
      <c r="H717" s="24"/>
      <c r="I717" s="25"/>
      <c r="N717" s="26"/>
      <c r="O717" s="26"/>
    </row>
    <row r="718" ht="15.75" customHeight="1">
      <c r="A718" s="20"/>
      <c r="B718" s="21"/>
      <c r="C718" s="22"/>
      <c r="D718" s="22"/>
      <c r="E718" s="22"/>
      <c r="F718" s="22"/>
      <c r="G718" s="23"/>
      <c r="H718" s="24"/>
      <c r="I718" s="25"/>
      <c r="N718" s="26"/>
      <c r="O718" s="26"/>
    </row>
    <row r="719" ht="15.75" customHeight="1">
      <c r="A719" s="20"/>
      <c r="B719" s="21"/>
      <c r="C719" s="22"/>
      <c r="D719" s="22"/>
      <c r="E719" s="22"/>
      <c r="F719" s="22"/>
      <c r="G719" s="23"/>
      <c r="H719" s="24"/>
      <c r="I719" s="25"/>
      <c r="N719" s="26"/>
      <c r="O719" s="26"/>
    </row>
    <row r="720" ht="15.75" customHeight="1">
      <c r="A720" s="20"/>
      <c r="B720" s="21"/>
      <c r="C720" s="22"/>
      <c r="D720" s="22"/>
      <c r="E720" s="22"/>
      <c r="F720" s="22"/>
      <c r="G720" s="23"/>
      <c r="H720" s="24"/>
      <c r="I720" s="25"/>
      <c r="N720" s="26"/>
      <c r="O720" s="26"/>
    </row>
    <row r="721" ht="15.75" customHeight="1">
      <c r="A721" s="20"/>
      <c r="B721" s="21"/>
      <c r="C721" s="22"/>
      <c r="D721" s="22"/>
      <c r="E721" s="22"/>
      <c r="F721" s="22"/>
      <c r="G721" s="23"/>
      <c r="H721" s="24"/>
      <c r="I721" s="25"/>
      <c r="N721" s="26"/>
      <c r="O721" s="26"/>
    </row>
    <row r="722" ht="15.75" customHeight="1">
      <c r="A722" s="20"/>
      <c r="B722" s="21"/>
      <c r="C722" s="22"/>
      <c r="D722" s="22"/>
      <c r="E722" s="22"/>
      <c r="F722" s="22"/>
      <c r="G722" s="23"/>
      <c r="H722" s="24"/>
      <c r="I722" s="25"/>
      <c r="N722" s="26"/>
      <c r="O722" s="26"/>
    </row>
    <row r="723" ht="15.75" customHeight="1">
      <c r="A723" s="20"/>
      <c r="B723" s="21"/>
      <c r="C723" s="22"/>
      <c r="D723" s="22"/>
      <c r="E723" s="22"/>
      <c r="F723" s="22"/>
      <c r="G723" s="23"/>
      <c r="H723" s="24"/>
      <c r="I723" s="25"/>
      <c r="N723" s="26"/>
      <c r="O723" s="26"/>
    </row>
    <row r="724" ht="15.75" customHeight="1">
      <c r="A724" s="20"/>
      <c r="B724" s="21"/>
      <c r="C724" s="22"/>
      <c r="D724" s="22"/>
      <c r="E724" s="22"/>
      <c r="F724" s="22"/>
      <c r="G724" s="23"/>
      <c r="H724" s="24"/>
      <c r="I724" s="25"/>
      <c r="N724" s="26"/>
      <c r="O724" s="26"/>
    </row>
    <row r="725" ht="15.75" customHeight="1">
      <c r="A725" s="20"/>
      <c r="B725" s="21"/>
      <c r="C725" s="22"/>
      <c r="D725" s="22"/>
      <c r="E725" s="22"/>
      <c r="F725" s="22"/>
      <c r="G725" s="23"/>
      <c r="H725" s="24"/>
      <c r="I725" s="25"/>
      <c r="N725" s="26"/>
      <c r="O725" s="26"/>
    </row>
    <row r="726" ht="15.75" customHeight="1">
      <c r="A726" s="20"/>
      <c r="B726" s="21"/>
      <c r="C726" s="22"/>
      <c r="D726" s="22"/>
      <c r="E726" s="22"/>
      <c r="F726" s="22"/>
      <c r="G726" s="23"/>
      <c r="H726" s="24"/>
      <c r="I726" s="25"/>
      <c r="N726" s="26"/>
      <c r="O726" s="26"/>
    </row>
    <row r="727" ht="15.75" customHeight="1">
      <c r="A727" s="20"/>
      <c r="B727" s="21"/>
      <c r="C727" s="22"/>
      <c r="D727" s="22"/>
      <c r="E727" s="22"/>
      <c r="F727" s="22"/>
      <c r="G727" s="23"/>
      <c r="H727" s="24"/>
      <c r="I727" s="25"/>
      <c r="N727" s="26"/>
      <c r="O727" s="26"/>
    </row>
    <row r="728" ht="15.75" customHeight="1">
      <c r="A728" s="20"/>
      <c r="B728" s="21"/>
      <c r="C728" s="22"/>
      <c r="D728" s="22"/>
      <c r="E728" s="22"/>
      <c r="F728" s="22"/>
      <c r="G728" s="23"/>
      <c r="H728" s="24"/>
      <c r="I728" s="25"/>
      <c r="N728" s="26"/>
      <c r="O728" s="26"/>
    </row>
    <row r="729" ht="15.75" customHeight="1">
      <c r="A729" s="20"/>
      <c r="B729" s="21"/>
      <c r="C729" s="22"/>
      <c r="D729" s="22"/>
      <c r="E729" s="22"/>
      <c r="F729" s="22"/>
      <c r="G729" s="23"/>
      <c r="H729" s="24"/>
      <c r="I729" s="25"/>
      <c r="N729" s="26"/>
      <c r="O729" s="26"/>
    </row>
    <row r="730" ht="15.75" customHeight="1">
      <c r="A730" s="20"/>
      <c r="B730" s="21"/>
      <c r="C730" s="22"/>
      <c r="D730" s="22"/>
      <c r="E730" s="22"/>
      <c r="F730" s="22"/>
      <c r="G730" s="23"/>
      <c r="H730" s="24"/>
      <c r="I730" s="25"/>
      <c r="N730" s="26"/>
      <c r="O730" s="26"/>
    </row>
    <row r="731" ht="15.75" customHeight="1">
      <c r="A731" s="20"/>
      <c r="B731" s="21"/>
      <c r="C731" s="22"/>
      <c r="D731" s="22"/>
      <c r="E731" s="22"/>
      <c r="F731" s="22"/>
      <c r="G731" s="23"/>
      <c r="H731" s="24"/>
      <c r="I731" s="25"/>
      <c r="N731" s="26"/>
      <c r="O731" s="26"/>
    </row>
    <row r="732" ht="15.75" customHeight="1">
      <c r="A732" s="20"/>
      <c r="B732" s="21"/>
      <c r="C732" s="22"/>
      <c r="D732" s="22"/>
      <c r="E732" s="22"/>
      <c r="F732" s="22"/>
      <c r="G732" s="23"/>
      <c r="H732" s="24"/>
      <c r="I732" s="25"/>
      <c r="N732" s="26"/>
      <c r="O732" s="26"/>
    </row>
    <row r="733" ht="15.75" customHeight="1">
      <c r="A733" s="20"/>
      <c r="B733" s="21"/>
      <c r="C733" s="22"/>
      <c r="D733" s="22"/>
      <c r="E733" s="22"/>
      <c r="F733" s="22"/>
      <c r="G733" s="23"/>
      <c r="H733" s="24"/>
      <c r="I733" s="25"/>
      <c r="N733" s="26"/>
      <c r="O733" s="26"/>
    </row>
    <row r="734" ht="15.75" customHeight="1">
      <c r="A734" s="20"/>
      <c r="B734" s="21"/>
      <c r="C734" s="22"/>
      <c r="D734" s="22"/>
      <c r="E734" s="22"/>
      <c r="F734" s="22"/>
      <c r="G734" s="23"/>
      <c r="H734" s="24"/>
      <c r="I734" s="25"/>
      <c r="N734" s="26"/>
      <c r="O734" s="26"/>
    </row>
    <row r="735" ht="15.75" customHeight="1">
      <c r="A735" s="20"/>
      <c r="B735" s="21"/>
      <c r="C735" s="22"/>
      <c r="D735" s="22"/>
      <c r="E735" s="22"/>
      <c r="F735" s="22"/>
      <c r="G735" s="23"/>
      <c r="H735" s="24"/>
      <c r="I735" s="25"/>
      <c r="N735" s="26"/>
      <c r="O735" s="26"/>
    </row>
    <row r="736" ht="15.75" customHeight="1">
      <c r="A736" s="20"/>
      <c r="B736" s="21"/>
      <c r="C736" s="22"/>
      <c r="D736" s="22"/>
      <c r="E736" s="22"/>
      <c r="F736" s="22"/>
      <c r="G736" s="23"/>
      <c r="H736" s="24"/>
      <c r="I736" s="25"/>
      <c r="N736" s="26"/>
      <c r="O736" s="26"/>
    </row>
    <row r="737" ht="15.75" customHeight="1">
      <c r="A737" s="20"/>
      <c r="B737" s="21"/>
      <c r="C737" s="22"/>
      <c r="D737" s="22"/>
      <c r="E737" s="22"/>
      <c r="F737" s="22"/>
      <c r="G737" s="23"/>
      <c r="H737" s="24"/>
      <c r="I737" s="25"/>
      <c r="N737" s="26"/>
      <c r="O737" s="26"/>
    </row>
    <row r="738" ht="15.75" customHeight="1">
      <c r="A738" s="20"/>
      <c r="B738" s="21"/>
      <c r="C738" s="22"/>
      <c r="D738" s="22"/>
      <c r="E738" s="22"/>
      <c r="F738" s="22"/>
      <c r="G738" s="23"/>
      <c r="H738" s="24"/>
      <c r="I738" s="25"/>
      <c r="N738" s="26"/>
      <c r="O738" s="26"/>
    </row>
    <row r="739" ht="15.75" customHeight="1">
      <c r="A739" s="20"/>
      <c r="B739" s="21"/>
      <c r="C739" s="22"/>
      <c r="D739" s="22"/>
      <c r="E739" s="22"/>
      <c r="F739" s="22"/>
      <c r="G739" s="23"/>
      <c r="H739" s="24"/>
      <c r="I739" s="25"/>
      <c r="N739" s="26"/>
      <c r="O739" s="26"/>
    </row>
    <row r="740" ht="15.75" customHeight="1">
      <c r="A740" s="20"/>
      <c r="B740" s="21"/>
      <c r="C740" s="22"/>
      <c r="D740" s="22"/>
      <c r="E740" s="22"/>
      <c r="F740" s="22"/>
      <c r="G740" s="23"/>
      <c r="H740" s="24"/>
      <c r="I740" s="25"/>
      <c r="N740" s="26"/>
      <c r="O740" s="26"/>
    </row>
    <row r="741" ht="15.75" customHeight="1">
      <c r="A741" s="20"/>
      <c r="B741" s="21"/>
      <c r="C741" s="22"/>
      <c r="D741" s="22"/>
      <c r="E741" s="22"/>
      <c r="F741" s="22"/>
      <c r="G741" s="23"/>
      <c r="H741" s="24"/>
      <c r="I741" s="25"/>
      <c r="N741" s="26"/>
      <c r="O741" s="26"/>
    </row>
    <row r="742" ht="15.75" customHeight="1">
      <c r="A742" s="20"/>
      <c r="B742" s="21"/>
      <c r="C742" s="22"/>
      <c r="D742" s="22"/>
      <c r="E742" s="22"/>
      <c r="F742" s="22"/>
      <c r="G742" s="23"/>
      <c r="H742" s="24"/>
      <c r="I742" s="25"/>
      <c r="N742" s="26"/>
      <c r="O742" s="26"/>
    </row>
    <row r="743" ht="15.75" customHeight="1">
      <c r="A743" s="20"/>
      <c r="B743" s="21"/>
      <c r="C743" s="22"/>
      <c r="D743" s="22"/>
      <c r="E743" s="22"/>
      <c r="F743" s="22"/>
      <c r="G743" s="23"/>
      <c r="H743" s="24"/>
      <c r="I743" s="25"/>
      <c r="N743" s="26"/>
      <c r="O743" s="26"/>
    </row>
    <row r="744" ht="15.75" customHeight="1">
      <c r="A744" s="20"/>
      <c r="B744" s="21"/>
      <c r="C744" s="22"/>
      <c r="D744" s="22"/>
      <c r="E744" s="22"/>
      <c r="F744" s="22"/>
      <c r="G744" s="23"/>
      <c r="H744" s="24"/>
      <c r="I744" s="25"/>
      <c r="N744" s="26"/>
      <c r="O744" s="26"/>
    </row>
    <row r="745" ht="15.75" customHeight="1">
      <c r="A745" s="20"/>
      <c r="B745" s="21"/>
      <c r="C745" s="22"/>
      <c r="D745" s="22"/>
      <c r="E745" s="22"/>
      <c r="F745" s="22"/>
      <c r="G745" s="23"/>
      <c r="H745" s="24"/>
      <c r="I745" s="25"/>
      <c r="N745" s="26"/>
      <c r="O745" s="26"/>
    </row>
    <row r="746" ht="15.75" customHeight="1">
      <c r="A746" s="20"/>
      <c r="B746" s="21"/>
      <c r="C746" s="22"/>
      <c r="D746" s="22"/>
      <c r="E746" s="22"/>
      <c r="F746" s="22"/>
      <c r="G746" s="23"/>
      <c r="H746" s="24"/>
      <c r="I746" s="25"/>
      <c r="N746" s="26"/>
      <c r="O746" s="26"/>
    </row>
    <row r="747" ht="15.75" customHeight="1">
      <c r="A747" s="20"/>
      <c r="B747" s="21"/>
      <c r="C747" s="22"/>
      <c r="D747" s="22"/>
      <c r="E747" s="22"/>
      <c r="F747" s="22"/>
      <c r="G747" s="23"/>
      <c r="H747" s="24"/>
      <c r="I747" s="25"/>
      <c r="N747" s="26"/>
      <c r="O747" s="26"/>
    </row>
    <row r="748" ht="15.75" customHeight="1">
      <c r="A748" s="20"/>
      <c r="B748" s="21"/>
      <c r="C748" s="22"/>
      <c r="D748" s="22"/>
      <c r="E748" s="22"/>
      <c r="F748" s="22"/>
      <c r="G748" s="23"/>
      <c r="H748" s="24"/>
      <c r="I748" s="25"/>
      <c r="N748" s="26"/>
      <c r="O748" s="26"/>
    </row>
    <row r="749" ht="15.75" customHeight="1">
      <c r="A749" s="20"/>
      <c r="B749" s="21"/>
      <c r="C749" s="22"/>
      <c r="D749" s="22"/>
      <c r="E749" s="22"/>
      <c r="F749" s="22"/>
      <c r="G749" s="23"/>
      <c r="H749" s="24"/>
      <c r="I749" s="25"/>
      <c r="N749" s="26"/>
      <c r="O749" s="26"/>
    </row>
    <row r="750" ht="15.75" customHeight="1">
      <c r="A750" s="20"/>
      <c r="B750" s="21"/>
      <c r="C750" s="22"/>
      <c r="D750" s="22"/>
      <c r="E750" s="22"/>
      <c r="F750" s="22"/>
      <c r="G750" s="23"/>
      <c r="H750" s="24"/>
      <c r="I750" s="25"/>
      <c r="N750" s="26"/>
      <c r="O750" s="26"/>
    </row>
    <row r="751" ht="15.75" customHeight="1">
      <c r="A751" s="20"/>
      <c r="B751" s="21"/>
      <c r="C751" s="22"/>
      <c r="D751" s="22"/>
      <c r="E751" s="22"/>
      <c r="F751" s="22"/>
      <c r="G751" s="23"/>
      <c r="H751" s="24"/>
      <c r="I751" s="25"/>
      <c r="N751" s="26"/>
      <c r="O751" s="26"/>
    </row>
    <row r="752" ht="15.75" customHeight="1">
      <c r="A752" s="20"/>
      <c r="B752" s="21"/>
      <c r="C752" s="22"/>
      <c r="D752" s="22"/>
      <c r="E752" s="22"/>
      <c r="F752" s="22"/>
      <c r="G752" s="23"/>
      <c r="H752" s="24"/>
      <c r="I752" s="25"/>
      <c r="N752" s="26"/>
      <c r="O752" s="26"/>
    </row>
    <row r="753" ht="15.75" customHeight="1">
      <c r="A753" s="20"/>
      <c r="B753" s="21"/>
      <c r="C753" s="22"/>
      <c r="D753" s="22"/>
      <c r="E753" s="22"/>
      <c r="F753" s="22"/>
      <c r="G753" s="23"/>
      <c r="H753" s="24"/>
      <c r="I753" s="25"/>
      <c r="N753" s="26"/>
      <c r="O753" s="26"/>
    </row>
    <row r="754" ht="15.75" customHeight="1">
      <c r="A754" s="20"/>
      <c r="B754" s="21"/>
      <c r="C754" s="22"/>
      <c r="D754" s="22"/>
      <c r="E754" s="22"/>
      <c r="F754" s="22"/>
      <c r="G754" s="23"/>
      <c r="H754" s="24"/>
      <c r="I754" s="25"/>
      <c r="N754" s="26"/>
      <c r="O754" s="26"/>
    </row>
    <row r="755" ht="15.75" customHeight="1">
      <c r="A755" s="20"/>
      <c r="B755" s="21"/>
      <c r="C755" s="22"/>
      <c r="D755" s="22"/>
      <c r="E755" s="22"/>
      <c r="F755" s="22"/>
      <c r="G755" s="23"/>
      <c r="H755" s="24"/>
      <c r="I755" s="25"/>
      <c r="N755" s="26"/>
      <c r="O755" s="26"/>
    </row>
    <row r="756" ht="15.75" customHeight="1">
      <c r="A756" s="20"/>
      <c r="B756" s="21"/>
      <c r="C756" s="22"/>
      <c r="D756" s="22"/>
      <c r="E756" s="22"/>
      <c r="F756" s="22"/>
      <c r="G756" s="23"/>
      <c r="H756" s="24"/>
      <c r="I756" s="25"/>
      <c r="N756" s="26"/>
      <c r="O756" s="26"/>
    </row>
    <row r="757" ht="15.75" customHeight="1">
      <c r="A757" s="20"/>
      <c r="B757" s="21"/>
      <c r="C757" s="22"/>
      <c r="D757" s="22"/>
      <c r="E757" s="22"/>
      <c r="F757" s="22"/>
      <c r="G757" s="23"/>
      <c r="H757" s="24"/>
      <c r="I757" s="25"/>
      <c r="N757" s="26"/>
      <c r="O757" s="26"/>
    </row>
    <row r="758" ht="15.75" customHeight="1">
      <c r="A758" s="20"/>
      <c r="B758" s="21"/>
      <c r="C758" s="22"/>
      <c r="D758" s="22"/>
      <c r="E758" s="22"/>
      <c r="F758" s="22"/>
      <c r="G758" s="23"/>
      <c r="H758" s="24"/>
      <c r="I758" s="25"/>
      <c r="N758" s="26"/>
      <c r="O758" s="26"/>
    </row>
    <row r="759" ht="15.75" customHeight="1">
      <c r="A759" s="20"/>
      <c r="B759" s="21"/>
      <c r="C759" s="22"/>
      <c r="D759" s="22"/>
      <c r="E759" s="22"/>
      <c r="F759" s="22"/>
      <c r="G759" s="23"/>
      <c r="H759" s="24"/>
      <c r="I759" s="25"/>
      <c r="N759" s="26"/>
      <c r="O759" s="26"/>
    </row>
    <row r="760" ht="15.75" customHeight="1">
      <c r="A760" s="20"/>
      <c r="B760" s="21"/>
      <c r="C760" s="22"/>
      <c r="D760" s="22"/>
      <c r="E760" s="22"/>
      <c r="F760" s="22"/>
      <c r="G760" s="23"/>
      <c r="H760" s="24"/>
      <c r="I760" s="25"/>
      <c r="N760" s="26"/>
      <c r="O760" s="26"/>
    </row>
    <row r="761" ht="15.75" customHeight="1">
      <c r="A761" s="20"/>
      <c r="B761" s="21"/>
      <c r="C761" s="22"/>
      <c r="D761" s="22"/>
      <c r="E761" s="22"/>
      <c r="F761" s="22"/>
      <c r="G761" s="23"/>
      <c r="H761" s="24"/>
      <c r="I761" s="25"/>
      <c r="N761" s="26"/>
      <c r="O761" s="26"/>
    </row>
    <row r="762" ht="15.75" customHeight="1">
      <c r="A762" s="20"/>
      <c r="B762" s="21"/>
      <c r="C762" s="22"/>
      <c r="D762" s="22"/>
      <c r="E762" s="22"/>
      <c r="F762" s="22"/>
      <c r="G762" s="23"/>
      <c r="H762" s="24"/>
      <c r="I762" s="25"/>
      <c r="N762" s="26"/>
      <c r="O762" s="26"/>
    </row>
    <row r="763" ht="15.75" customHeight="1">
      <c r="A763" s="20"/>
      <c r="B763" s="21"/>
      <c r="C763" s="22"/>
      <c r="D763" s="22"/>
      <c r="E763" s="22"/>
      <c r="F763" s="22"/>
      <c r="G763" s="23"/>
      <c r="H763" s="24"/>
      <c r="I763" s="25"/>
      <c r="N763" s="26"/>
      <c r="O763" s="26"/>
    </row>
    <row r="764" ht="15.75" customHeight="1">
      <c r="A764" s="20"/>
      <c r="B764" s="21"/>
      <c r="C764" s="22"/>
      <c r="D764" s="22"/>
      <c r="E764" s="22"/>
      <c r="F764" s="22"/>
      <c r="G764" s="23"/>
      <c r="H764" s="24"/>
      <c r="I764" s="25"/>
      <c r="N764" s="26"/>
      <c r="O764" s="26"/>
    </row>
    <row r="765" ht="15.75" customHeight="1">
      <c r="A765" s="20"/>
      <c r="B765" s="21"/>
      <c r="C765" s="22"/>
      <c r="D765" s="22"/>
      <c r="E765" s="22"/>
      <c r="F765" s="22"/>
      <c r="G765" s="23"/>
      <c r="H765" s="24"/>
      <c r="I765" s="25"/>
      <c r="N765" s="26"/>
      <c r="O765" s="26"/>
    </row>
    <row r="766" ht="15.75" customHeight="1">
      <c r="A766" s="20"/>
      <c r="B766" s="21"/>
      <c r="C766" s="22"/>
      <c r="D766" s="22"/>
      <c r="E766" s="22"/>
      <c r="F766" s="22"/>
      <c r="G766" s="23"/>
      <c r="H766" s="24"/>
      <c r="I766" s="25"/>
      <c r="N766" s="26"/>
      <c r="O766" s="26"/>
    </row>
    <row r="767" ht="15.75" customHeight="1">
      <c r="A767" s="20"/>
      <c r="B767" s="21"/>
      <c r="C767" s="22"/>
      <c r="D767" s="22"/>
      <c r="E767" s="22"/>
      <c r="F767" s="22"/>
      <c r="G767" s="23"/>
      <c r="H767" s="24"/>
      <c r="I767" s="25"/>
      <c r="N767" s="26"/>
      <c r="O767" s="26"/>
    </row>
    <row r="768" ht="15.75" customHeight="1">
      <c r="A768" s="20"/>
      <c r="B768" s="21"/>
      <c r="C768" s="22"/>
      <c r="D768" s="22"/>
      <c r="E768" s="22"/>
      <c r="F768" s="22"/>
      <c r="G768" s="23"/>
      <c r="H768" s="24"/>
      <c r="I768" s="25"/>
      <c r="N768" s="26"/>
      <c r="O768" s="26"/>
    </row>
    <row r="769" ht="15.75" customHeight="1">
      <c r="A769" s="20"/>
      <c r="B769" s="21"/>
      <c r="C769" s="22"/>
      <c r="D769" s="22"/>
      <c r="E769" s="22"/>
      <c r="F769" s="22"/>
      <c r="G769" s="23"/>
      <c r="H769" s="24"/>
      <c r="I769" s="25"/>
      <c r="N769" s="26"/>
      <c r="O769" s="26"/>
    </row>
    <row r="770" ht="15.75" customHeight="1">
      <c r="A770" s="20"/>
      <c r="B770" s="21"/>
      <c r="C770" s="22"/>
      <c r="D770" s="22"/>
      <c r="E770" s="22"/>
      <c r="F770" s="22"/>
      <c r="G770" s="23"/>
      <c r="H770" s="24"/>
      <c r="I770" s="25"/>
      <c r="N770" s="26"/>
      <c r="O770" s="26"/>
    </row>
    <row r="771" ht="15.75" customHeight="1">
      <c r="A771" s="20"/>
      <c r="B771" s="21"/>
      <c r="C771" s="22"/>
      <c r="D771" s="22"/>
      <c r="E771" s="22"/>
      <c r="F771" s="22"/>
      <c r="G771" s="23"/>
      <c r="H771" s="24"/>
      <c r="I771" s="25"/>
      <c r="N771" s="26"/>
      <c r="O771" s="26"/>
    </row>
    <row r="772" ht="15.75" customHeight="1">
      <c r="A772" s="20"/>
      <c r="B772" s="21"/>
      <c r="C772" s="22"/>
      <c r="D772" s="22"/>
      <c r="E772" s="22"/>
      <c r="F772" s="22"/>
      <c r="G772" s="23"/>
      <c r="H772" s="24"/>
      <c r="I772" s="25"/>
      <c r="N772" s="26"/>
      <c r="O772" s="26"/>
    </row>
    <row r="773" ht="15.75" customHeight="1">
      <c r="A773" s="20"/>
      <c r="B773" s="21"/>
      <c r="C773" s="22"/>
      <c r="D773" s="22"/>
      <c r="E773" s="22"/>
      <c r="F773" s="22"/>
      <c r="G773" s="23"/>
      <c r="H773" s="24"/>
      <c r="I773" s="25"/>
      <c r="N773" s="26"/>
      <c r="O773" s="26"/>
    </row>
    <row r="774" ht="15.75" customHeight="1">
      <c r="A774" s="20"/>
      <c r="B774" s="21"/>
      <c r="C774" s="22"/>
      <c r="D774" s="22"/>
      <c r="E774" s="22"/>
      <c r="F774" s="22"/>
      <c r="G774" s="23"/>
      <c r="H774" s="24"/>
      <c r="I774" s="25"/>
      <c r="N774" s="26"/>
      <c r="O774" s="26"/>
    </row>
    <row r="775" ht="15.75" customHeight="1">
      <c r="A775" s="20"/>
      <c r="B775" s="21"/>
      <c r="C775" s="22"/>
      <c r="D775" s="22"/>
      <c r="E775" s="22"/>
      <c r="F775" s="22"/>
      <c r="G775" s="23"/>
      <c r="H775" s="24"/>
      <c r="I775" s="25"/>
      <c r="N775" s="26"/>
      <c r="O775" s="26"/>
    </row>
    <row r="776" ht="15.75" customHeight="1">
      <c r="A776" s="20"/>
      <c r="B776" s="21"/>
      <c r="C776" s="22"/>
      <c r="D776" s="22"/>
      <c r="E776" s="22"/>
      <c r="F776" s="22"/>
      <c r="G776" s="23"/>
      <c r="H776" s="24"/>
      <c r="I776" s="25"/>
      <c r="N776" s="26"/>
      <c r="O776" s="26"/>
    </row>
    <row r="777" ht="15.75" customHeight="1">
      <c r="A777" s="20"/>
      <c r="B777" s="21"/>
      <c r="C777" s="22"/>
      <c r="D777" s="22"/>
      <c r="E777" s="22"/>
      <c r="F777" s="22"/>
      <c r="G777" s="23"/>
      <c r="H777" s="24"/>
      <c r="I777" s="25"/>
      <c r="N777" s="26"/>
      <c r="O777" s="26"/>
    </row>
    <row r="778" ht="15.75" customHeight="1">
      <c r="A778" s="20"/>
      <c r="B778" s="21"/>
      <c r="C778" s="22"/>
      <c r="D778" s="22"/>
      <c r="E778" s="22"/>
      <c r="F778" s="22"/>
      <c r="G778" s="23"/>
      <c r="H778" s="24"/>
      <c r="I778" s="25"/>
      <c r="N778" s="26"/>
      <c r="O778" s="26"/>
    </row>
    <row r="779" ht="15.75" customHeight="1">
      <c r="A779" s="20"/>
      <c r="B779" s="21"/>
      <c r="C779" s="22"/>
      <c r="D779" s="22"/>
      <c r="E779" s="22"/>
      <c r="F779" s="22"/>
      <c r="G779" s="23"/>
      <c r="H779" s="24"/>
      <c r="I779" s="25"/>
      <c r="N779" s="26"/>
      <c r="O779" s="26"/>
    </row>
    <row r="780" ht="15.75" customHeight="1">
      <c r="A780" s="20"/>
      <c r="B780" s="21"/>
      <c r="C780" s="22"/>
      <c r="D780" s="22"/>
      <c r="E780" s="22"/>
      <c r="F780" s="22"/>
      <c r="G780" s="23"/>
      <c r="H780" s="24"/>
      <c r="I780" s="25"/>
      <c r="N780" s="26"/>
      <c r="O780" s="26"/>
    </row>
    <row r="781" ht="15.75" customHeight="1">
      <c r="A781" s="20"/>
      <c r="B781" s="21"/>
      <c r="C781" s="22"/>
      <c r="D781" s="22"/>
      <c r="E781" s="22"/>
      <c r="F781" s="22"/>
      <c r="G781" s="23"/>
      <c r="H781" s="24"/>
      <c r="I781" s="25"/>
      <c r="N781" s="26"/>
      <c r="O781" s="26"/>
    </row>
    <row r="782" ht="15.75" customHeight="1">
      <c r="A782" s="20"/>
      <c r="B782" s="21"/>
      <c r="C782" s="22"/>
      <c r="D782" s="22"/>
      <c r="E782" s="22"/>
      <c r="F782" s="22"/>
      <c r="G782" s="23"/>
      <c r="H782" s="24"/>
      <c r="I782" s="25"/>
      <c r="N782" s="26"/>
      <c r="O782" s="26"/>
    </row>
    <row r="783" ht="15.75" customHeight="1">
      <c r="A783" s="20"/>
      <c r="B783" s="21"/>
      <c r="C783" s="22"/>
      <c r="D783" s="22"/>
      <c r="E783" s="22"/>
      <c r="F783" s="22"/>
      <c r="G783" s="23"/>
      <c r="H783" s="24"/>
      <c r="I783" s="25"/>
      <c r="N783" s="26"/>
      <c r="O783" s="26"/>
    </row>
    <row r="784" ht="15.75" customHeight="1">
      <c r="A784" s="20"/>
      <c r="B784" s="21"/>
      <c r="C784" s="22"/>
      <c r="D784" s="22"/>
      <c r="E784" s="22"/>
      <c r="F784" s="22"/>
      <c r="G784" s="23"/>
      <c r="H784" s="24"/>
      <c r="I784" s="25"/>
      <c r="N784" s="26"/>
      <c r="O784" s="26"/>
    </row>
    <row r="785" ht="15.75" customHeight="1">
      <c r="A785" s="20"/>
      <c r="B785" s="21"/>
      <c r="C785" s="22"/>
      <c r="D785" s="22"/>
      <c r="E785" s="22"/>
      <c r="F785" s="22"/>
      <c r="G785" s="23"/>
      <c r="H785" s="24"/>
      <c r="I785" s="25"/>
      <c r="N785" s="26"/>
      <c r="O785" s="26"/>
    </row>
    <row r="786" ht="15.75" customHeight="1">
      <c r="A786" s="20"/>
      <c r="B786" s="21"/>
      <c r="C786" s="22"/>
      <c r="D786" s="22"/>
      <c r="E786" s="22"/>
      <c r="F786" s="22"/>
      <c r="G786" s="23"/>
      <c r="H786" s="24"/>
      <c r="I786" s="25"/>
      <c r="N786" s="26"/>
      <c r="O786" s="26"/>
    </row>
    <row r="787" ht="15.75" customHeight="1">
      <c r="A787" s="20"/>
      <c r="B787" s="21"/>
      <c r="C787" s="22"/>
      <c r="D787" s="22"/>
      <c r="E787" s="22"/>
      <c r="F787" s="22"/>
      <c r="G787" s="23"/>
      <c r="H787" s="24"/>
      <c r="I787" s="25"/>
      <c r="N787" s="26"/>
      <c r="O787" s="26"/>
    </row>
    <row r="788" ht="15.75" customHeight="1">
      <c r="A788" s="20"/>
      <c r="B788" s="21"/>
      <c r="C788" s="22"/>
      <c r="D788" s="22"/>
      <c r="E788" s="22"/>
      <c r="F788" s="22"/>
      <c r="G788" s="23"/>
      <c r="H788" s="24"/>
      <c r="I788" s="25"/>
      <c r="N788" s="26"/>
      <c r="O788" s="26"/>
    </row>
    <row r="789" ht="15.75" customHeight="1">
      <c r="A789" s="20"/>
      <c r="B789" s="21"/>
      <c r="C789" s="22"/>
      <c r="D789" s="22"/>
      <c r="E789" s="22"/>
      <c r="F789" s="22"/>
      <c r="G789" s="23"/>
      <c r="H789" s="24"/>
      <c r="I789" s="25"/>
      <c r="N789" s="26"/>
      <c r="O789" s="26"/>
    </row>
    <row r="790" ht="15.75" customHeight="1">
      <c r="A790" s="20"/>
      <c r="B790" s="21"/>
      <c r="C790" s="22"/>
      <c r="D790" s="22"/>
      <c r="E790" s="22"/>
      <c r="F790" s="22"/>
      <c r="G790" s="23"/>
      <c r="H790" s="24"/>
      <c r="I790" s="25"/>
      <c r="N790" s="26"/>
      <c r="O790" s="26"/>
    </row>
    <row r="791" ht="15.75" customHeight="1">
      <c r="A791" s="20"/>
      <c r="B791" s="21"/>
      <c r="C791" s="22"/>
      <c r="D791" s="22"/>
      <c r="E791" s="22"/>
      <c r="F791" s="22"/>
      <c r="G791" s="23"/>
      <c r="H791" s="24"/>
      <c r="I791" s="25"/>
      <c r="N791" s="26"/>
      <c r="O791" s="26"/>
    </row>
    <row r="792" ht="15.75" customHeight="1">
      <c r="A792" s="20"/>
      <c r="B792" s="21"/>
      <c r="C792" s="22"/>
      <c r="D792" s="22"/>
      <c r="E792" s="22"/>
      <c r="F792" s="22"/>
      <c r="G792" s="23"/>
      <c r="H792" s="24"/>
      <c r="I792" s="25"/>
      <c r="N792" s="26"/>
      <c r="O792" s="26"/>
    </row>
    <row r="793" ht="15.75" customHeight="1">
      <c r="A793" s="20"/>
      <c r="B793" s="21"/>
      <c r="C793" s="22"/>
      <c r="D793" s="22"/>
      <c r="E793" s="22"/>
      <c r="F793" s="22"/>
      <c r="G793" s="23"/>
      <c r="H793" s="24"/>
      <c r="I793" s="25"/>
      <c r="N793" s="26"/>
      <c r="O793" s="26"/>
    </row>
    <row r="794" ht="15.75" customHeight="1">
      <c r="A794" s="20"/>
      <c r="B794" s="21"/>
      <c r="C794" s="22"/>
      <c r="D794" s="22"/>
      <c r="E794" s="22"/>
      <c r="F794" s="22"/>
      <c r="G794" s="23"/>
      <c r="H794" s="24"/>
      <c r="I794" s="25"/>
      <c r="N794" s="26"/>
      <c r="O794" s="26"/>
    </row>
    <row r="795" ht="15.75" customHeight="1">
      <c r="A795" s="20"/>
      <c r="B795" s="21"/>
      <c r="C795" s="22"/>
      <c r="D795" s="22"/>
      <c r="E795" s="22"/>
      <c r="F795" s="22"/>
      <c r="G795" s="23"/>
      <c r="H795" s="24"/>
      <c r="I795" s="25"/>
      <c r="N795" s="26"/>
      <c r="O795" s="26"/>
    </row>
    <row r="796" ht="15.75" customHeight="1">
      <c r="A796" s="20"/>
      <c r="B796" s="21"/>
      <c r="C796" s="22"/>
      <c r="D796" s="22"/>
      <c r="E796" s="22"/>
      <c r="F796" s="22"/>
      <c r="G796" s="23"/>
      <c r="H796" s="24"/>
      <c r="I796" s="25"/>
      <c r="N796" s="26"/>
      <c r="O796" s="26"/>
    </row>
    <row r="797" ht="15.75" customHeight="1">
      <c r="A797" s="20"/>
      <c r="B797" s="21"/>
      <c r="C797" s="22"/>
      <c r="D797" s="22"/>
      <c r="E797" s="22"/>
      <c r="F797" s="22"/>
      <c r="G797" s="23"/>
      <c r="H797" s="24"/>
      <c r="I797" s="25"/>
      <c r="N797" s="26"/>
      <c r="O797" s="26"/>
    </row>
    <row r="798" ht="15.75" customHeight="1">
      <c r="A798" s="20"/>
      <c r="B798" s="21"/>
      <c r="C798" s="22"/>
      <c r="D798" s="22"/>
      <c r="E798" s="22"/>
      <c r="F798" s="22"/>
      <c r="G798" s="23"/>
      <c r="H798" s="24"/>
      <c r="I798" s="25"/>
      <c r="N798" s="26"/>
      <c r="O798" s="26"/>
    </row>
    <row r="799" ht="15.75" customHeight="1">
      <c r="A799" s="20"/>
      <c r="B799" s="21"/>
      <c r="C799" s="22"/>
      <c r="D799" s="22"/>
      <c r="E799" s="22"/>
      <c r="F799" s="22"/>
      <c r="G799" s="23"/>
      <c r="H799" s="24"/>
      <c r="I799" s="25"/>
      <c r="N799" s="26"/>
      <c r="O799" s="26"/>
    </row>
    <row r="800" ht="15.75" customHeight="1">
      <c r="A800" s="20"/>
      <c r="B800" s="21"/>
      <c r="C800" s="22"/>
      <c r="D800" s="22"/>
      <c r="E800" s="22"/>
      <c r="F800" s="22"/>
      <c r="G800" s="23"/>
      <c r="H800" s="24"/>
      <c r="I800" s="25"/>
      <c r="N800" s="26"/>
      <c r="O800" s="26"/>
    </row>
    <row r="801" ht="15.75" customHeight="1">
      <c r="A801" s="20"/>
      <c r="B801" s="21"/>
      <c r="C801" s="22"/>
      <c r="D801" s="22"/>
      <c r="E801" s="22"/>
      <c r="F801" s="22"/>
      <c r="G801" s="23"/>
      <c r="H801" s="24"/>
      <c r="I801" s="25"/>
      <c r="N801" s="26"/>
      <c r="O801" s="26"/>
    </row>
    <row r="802" ht="15.75" customHeight="1">
      <c r="A802" s="20"/>
      <c r="B802" s="21"/>
      <c r="C802" s="22"/>
      <c r="D802" s="22"/>
      <c r="E802" s="22"/>
      <c r="F802" s="22"/>
      <c r="G802" s="23"/>
      <c r="H802" s="24"/>
      <c r="I802" s="25"/>
      <c r="N802" s="26"/>
      <c r="O802" s="26"/>
    </row>
    <row r="803" ht="15.75" customHeight="1">
      <c r="A803" s="20"/>
      <c r="B803" s="21"/>
      <c r="C803" s="22"/>
      <c r="D803" s="22"/>
      <c r="E803" s="22"/>
      <c r="F803" s="22"/>
      <c r="G803" s="23"/>
      <c r="H803" s="24"/>
      <c r="I803" s="25"/>
      <c r="N803" s="26"/>
      <c r="O803" s="26"/>
    </row>
    <row r="804" ht="15.75" customHeight="1">
      <c r="A804" s="20"/>
      <c r="B804" s="21"/>
      <c r="C804" s="22"/>
      <c r="D804" s="22"/>
      <c r="E804" s="22"/>
      <c r="F804" s="22"/>
      <c r="G804" s="23"/>
      <c r="H804" s="24"/>
      <c r="I804" s="25"/>
      <c r="N804" s="26"/>
      <c r="O804" s="26"/>
    </row>
    <row r="805" ht="15.75" customHeight="1">
      <c r="A805" s="20"/>
      <c r="B805" s="21"/>
      <c r="C805" s="22"/>
      <c r="D805" s="22"/>
      <c r="E805" s="22"/>
      <c r="F805" s="22"/>
      <c r="G805" s="23"/>
      <c r="H805" s="24"/>
      <c r="I805" s="25"/>
      <c r="N805" s="26"/>
      <c r="O805" s="26"/>
    </row>
    <row r="806" ht="15.75" customHeight="1">
      <c r="A806" s="20"/>
      <c r="B806" s="21"/>
      <c r="C806" s="22"/>
      <c r="D806" s="22"/>
      <c r="E806" s="22"/>
      <c r="F806" s="22"/>
      <c r="G806" s="23"/>
      <c r="H806" s="24"/>
      <c r="I806" s="25"/>
      <c r="N806" s="26"/>
      <c r="O806" s="26"/>
    </row>
    <row r="807" ht="15.75" customHeight="1">
      <c r="A807" s="20"/>
      <c r="B807" s="21"/>
      <c r="C807" s="22"/>
      <c r="D807" s="22"/>
      <c r="E807" s="22"/>
      <c r="F807" s="22"/>
      <c r="G807" s="23"/>
      <c r="H807" s="24"/>
      <c r="I807" s="25"/>
      <c r="N807" s="26"/>
      <c r="O807" s="26"/>
    </row>
    <row r="808" ht="15.75" customHeight="1">
      <c r="A808" s="20"/>
      <c r="B808" s="21"/>
      <c r="C808" s="22"/>
      <c r="D808" s="22"/>
      <c r="E808" s="22"/>
      <c r="F808" s="22"/>
      <c r="G808" s="23"/>
      <c r="H808" s="24"/>
      <c r="I808" s="25"/>
      <c r="N808" s="26"/>
      <c r="O808" s="26"/>
    </row>
    <row r="809" ht="15.75" customHeight="1">
      <c r="A809" s="20"/>
      <c r="B809" s="21"/>
      <c r="C809" s="22"/>
      <c r="D809" s="22"/>
      <c r="E809" s="22"/>
      <c r="F809" s="22"/>
      <c r="G809" s="23"/>
      <c r="H809" s="24"/>
      <c r="I809" s="25"/>
      <c r="N809" s="26"/>
      <c r="O809" s="26"/>
    </row>
    <row r="810" ht="15.75" customHeight="1">
      <c r="A810" s="20"/>
      <c r="B810" s="21"/>
      <c r="C810" s="22"/>
      <c r="D810" s="22"/>
      <c r="E810" s="22"/>
      <c r="F810" s="22"/>
      <c r="G810" s="23"/>
      <c r="H810" s="24"/>
      <c r="I810" s="25"/>
      <c r="N810" s="26"/>
      <c r="O810" s="26"/>
    </row>
    <row r="811" ht="15.75" customHeight="1">
      <c r="A811" s="20"/>
      <c r="B811" s="21"/>
      <c r="C811" s="22"/>
      <c r="D811" s="22"/>
      <c r="E811" s="22"/>
      <c r="F811" s="22"/>
      <c r="G811" s="23"/>
      <c r="H811" s="24"/>
      <c r="I811" s="25"/>
      <c r="N811" s="26"/>
      <c r="O811" s="26"/>
    </row>
    <row r="812" ht="15.75" customHeight="1">
      <c r="A812" s="20"/>
      <c r="B812" s="21"/>
      <c r="C812" s="22"/>
      <c r="D812" s="22"/>
      <c r="E812" s="22"/>
      <c r="F812" s="22"/>
      <c r="G812" s="23"/>
      <c r="H812" s="24"/>
      <c r="I812" s="25"/>
      <c r="N812" s="26"/>
      <c r="O812" s="26"/>
    </row>
    <row r="813" ht="15.75" customHeight="1">
      <c r="A813" s="20"/>
      <c r="B813" s="21"/>
      <c r="C813" s="22"/>
      <c r="D813" s="22"/>
      <c r="E813" s="22"/>
      <c r="F813" s="22"/>
      <c r="G813" s="23"/>
      <c r="H813" s="24"/>
      <c r="I813" s="25"/>
      <c r="N813" s="26"/>
      <c r="O813" s="26"/>
    </row>
    <row r="814" ht="15.75" customHeight="1">
      <c r="A814" s="20"/>
      <c r="B814" s="21"/>
      <c r="C814" s="22"/>
      <c r="D814" s="22"/>
      <c r="E814" s="22"/>
      <c r="F814" s="22"/>
      <c r="G814" s="23"/>
      <c r="H814" s="24"/>
      <c r="I814" s="25"/>
      <c r="N814" s="26"/>
      <c r="O814" s="26"/>
    </row>
    <row r="815" ht="15.75" customHeight="1">
      <c r="A815" s="20"/>
      <c r="B815" s="21"/>
      <c r="C815" s="22"/>
      <c r="D815" s="22"/>
      <c r="E815" s="22"/>
      <c r="F815" s="22"/>
      <c r="G815" s="23"/>
      <c r="H815" s="24"/>
      <c r="I815" s="25"/>
      <c r="N815" s="26"/>
      <c r="O815" s="26"/>
    </row>
    <row r="816" ht="15.75" customHeight="1">
      <c r="A816" s="20"/>
      <c r="B816" s="21"/>
      <c r="C816" s="22"/>
      <c r="D816" s="22"/>
      <c r="E816" s="22"/>
      <c r="F816" s="22"/>
      <c r="G816" s="23"/>
      <c r="H816" s="24"/>
      <c r="I816" s="25"/>
      <c r="N816" s="26"/>
      <c r="O816" s="26"/>
    </row>
    <row r="817" ht="15.75" customHeight="1">
      <c r="A817" s="20"/>
      <c r="B817" s="21"/>
      <c r="C817" s="22"/>
      <c r="D817" s="22"/>
      <c r="E817" s="22"/>
      <c r="F817" s="22"/>
      <c r="G817" s="23"/>
      <c r="H817" s="24"/>
      <c r="I817" s="25"/>
      <c r="N817" s="26"/>
      <c r="O817" s="26"/>
    </row>
    <row r="818" ht="15.75" customHeight="1">
      <c r="A818" s="20"/>
      <c r="B818" s="21"/>
      <c r="C818" s="22"/>
      <c r="D818" s="22"/>
      <c r="E818" s="22"/>
      <c r="F818" s="22"/>
      <c r="G818" s="23"/>
      <c r="H818" s="24"/>
      <c r="I818" s="25"/>
      <c r="N818" s="26"/>
      <c r="O818" s="26"/>
    </row>
    <row r="819" ht="15.75" customHeight="1">
      <c r="A819" s="20"/>
      <c r="B819" s="21"/>
      <c r="C819" s="22"/>
      <c r="D819" s="22"/>
      <c r="E819" s="22"/>
      <c r="F819" s="22"/>
      <c r="G819" s="23"/>
      <c r="H819" s="24"/>
      <c r="I819" s="25"/>
      <c r="N819" s="26"/>
      <c r="O819" s="26"/>
    </row>
    <row r="820" ht="15.75" customHeight="1">
      <c r="A820" s="20"/>
      <c r="B820" s="21"/>
      <c r="C820" s="22"/>
      <c r="D820" s="22"/>
      <c r="E820" s="22"/>
      <c r="F820" s="22"/>
      <c r="G820" s="23"/>
      <c r="H820" s="24"/>
      <c r="I820" s="25"/>
      <c r="N820" s="26"/>
      <c r="O820" s="26"/>
    </row>
    <row r="821" ht="15.75" customHeight="1">
      <c r="A821" s="20"/>
      <c r="B821" s="21"/>
      <c r="C821" s="22"/>
      <c r="D821" s="22"/>
      <c r="E821" s="22"/>
      <c r="F821" s="22"/>
      <c r="G821" s="23"/>
      <c r="H821" s="24"/>
      <c r="I821" s="25"/>
      <c r="N821" s="26"/>
      <c r="O821" s="26"/>
    </row>
    <row r="822" ht="15.75" customHeight="1">
      <c r="A822" s="20"/>
      <c r="B822" s="21"/>
      <c r="C822" s="22"/>
      <c r="D822" s="22"/>
      <c r="E822" s="22"/>
      <c r="F822" s="22"/>
      <c r="G822" s="23"/>
      <c r="H822" s="24"/>
      <c r="I822" s="25"/>
      <c r="N822" s="26"/>
      <c r="O822" s="26"/>
    </row>
    <row r="823" ht="15.75" customHeight="1">
      <c r="A823" s="20"/>
      <c r="B823" s="21"/>
      <c r="C823" s="22"/>
      <c r="D823" s="22"/>
      <c r="E823" s="22"/>
      <c r="F823" s="22"/>
      <c r="G823" s="23"/>
      <c r="H823" s="24"/>
      <c r="I823" s="25"/>
      <c r="N823" s="26"/>
      <c r="O823" s="26"/>
    </row>
    <row r="824" ht="15.75" customHeight="1">
      <c r="A824" s="20"/>
      <c r="B824" s="21"/>
      <c r="C824" s="22"/>
      <c r="D824" s="22"/>
      <c r="E824" s="22"/>
      <c r="F824" s="22"/>
      <c r="G824" s="23"/>
      <c r="H824" s="24"/>
      <c r="I824" s="25"/>
      <c r="N824" s="26"/>
      <c r="O824" s="26"/>
    </row>
    <row r="825" ht="15.75" customHeight="1">
      <c r="A825" s="20"/>
      <c r="B825" s="21"/>
      <c r="C825" s="22"/>
      <c r="D825" s="22"/>
      <c r="E825" s="22"/>
      <c r="F825" s="22"/>
      <c r="G825" s="23"/>
      <c r="H825" s="24"/>
      <c r="I825" s="25"/>
      <c r="N825" s="26"/>
      <c r="O825" s="26"/>
    </row>
    <row r="826" ht="15.75" customHeight="1">
      <c r="A826" s="20"/>
      <c r="B826" s="21"/>
      <c r="C826" s="22"/>
      <c r="D826" s="22"/>
      <c r="E826" s="22"/>
      <c r="F826" s="22"/>
      <c r="G826" s="23"/>
      <c r="H826" s="24"/>
      <c r="I826" s="25"/>
      <c r="N826" s="26"/>
      <c r="O826" s="26"/>
    </row>
    <row r="827" ht="15.75" customHeight="1">
      <c r="A827" s="20"/>
      <c r="B827" s="21"/>
      <c r="C827" s="22"/>
      <c r="D827" s="22"/>
      <c r="E827" s="22"/>
      <c r="F827" s="22"/>
      <c r="G827" s="23"/>
      <c r="H827" s="24"/>
      <c r="I827" s="25"/>
      <c r="N827" s="26"/>
      <c r="O827" s="26"/>
    </row>
    <row r="828" ht="15.75" customHeight="1">
      <c r="A828" s="20"/>
      <c r="B828" s="21"/>
      <c r="C828" s="22"/>
      <c r="D828" s="22"/>
      <c r="E828" s="22"/>
      <c r="F828" s="22"/>
      <c r="G828" s="23"/>
      <c r="H828" s="24"/>
      <c r="I828" s="25"/>
      <c r="N828" s="26"/>
      <c r="O828" s="26"/>
    </row>
    <row r="829" ht="15.75" customHeight="1">
      <c r="A829" s="20"/>
      <c r="B829" s="21"/>
      <c r="C829" s="22"/>
      <c r="D829" s="22"/>
      <c r="E829" s="22"/>
      <c r="F829" s="22"/>
      <c r="G829" s="23"/>
      <c r="H829" s="24"/>
      <c r="I829" s="25"/>
      <c r="N829" s="26"/>
      <c r="O829" s="26"/>
    </row>
    <row r="830" ht="15.75" customHeight="1">
      <c r="A830" s="20"/>
      <c r="B830" s="21"/>
      <c r="C830" s="22"/>
      <c r="D830" s="22"/>
      <c r="E830" s="22"/>
      <c r="F830" s="22"/>
      <c r="G830" s="23"/>
      <c r="H830" s="24"/>
      <c r="I830" s="25"/>
      <c r="N830" s="26"/>
      <c r="O830" s="26"/>
    </row>
    <row r="831" ht="15.75" customHeight="1">
      <c r="A831" s="20"/>
      <c r="B831" s="21"/>
      <c r="C831" s="22"/>
      <c r="D831" s="22"/>
      <c r="E831" s="22"/>
      <c r="F831" s="22"/>
      <c r="G831" s="23"/>
      <c r="H831" s="24"/>
      <c r="I831" s="25"/>
      <c r="N831" s="26"/>
      <c r="O831" s="26"/>
    </row>
    <row r="832" ht="15.75" customHeight="1">
      <c r="A832" s="20"/>
      <c r="B832" s="21"/>
      <c r="C832" s="22"/>
      <c r="D832" s="22"/>
      <c r="E832" s="22"/>
      <c r="F832" s="22"/>
      <c r="G832" s="23"/>
      <c r="H832" s="24"/>
      <c r="I832" s="25"/>
      <c r="N832" s="26"/>
      <c r="O832" s="26"/>
    </row>
    <row r="833" ht="15.75" customHeight="1">
      <c r="A833" s="20"/>
      <c r="B833" s="21"/>
      <c r="C833" s="22"/>
      <c r="D833" s="22"/>
      <c r="E833" s="22"/>
      <c r="F833" s="22"/>
      <c r="G833" s="23"/>
      <c r="H833" s="24"/>
      <c r="I833" s="25"/>
      <c r="N833" s="26"/>
      <c r="O833" s="26"/>
    </row>
    <row r="834" ht="15.75" customHeight="1">
      <c r="A834" s="20"/>
      <c r="B834" s="21"/>
      <c r="C834" s="22"/>
      <c r="D834" s="22"/>
      <c r="E834" s="22"/>
      <c r="F834" s="22"/>
      <c r="G834" s="23"/>
      <c r="H834" s="24"/>
      <c r="I834" s="25"/>
      <c r="N834" s="26"/>
      <c r="O834" s="26"/>
    </row>
    <row r="835" ht="15.75" customHeight="1">
      <c r="A835" s="20"/>
      <c r="B835" s="21"/>
      <c r="C835" s="22"/>
      <c r="D835" s="22"/>
      <c r="E835" s="22"/>
      <c r="F835" s="22"/>
      <c r="G835" s="23"/>
      <c r="H835" s="24"/>
      <c r="I835" s="25"/>
      <c r="N835" s="26"/>
      <c r="O835" s="26"/>
    </row>
    <row r="836" ht="15.75" customHeight="1">
      <c r="A836" s="20"/>
      <c r="B836" s="21"/>
      <c r="C836" s="22"/>
      <c r="D836" s="22"/>
      <c r="E836" s="22"/>
      <c r="F836" s="22"/>
      <c r="G836" s="23"/>
      <c r="H836" s="24"/>
      <c r="I836" s="25"/>
      <c r="N836" s="26"/>
      <c r="O836" s="26"/>
    </row>
    <row r="837" ht="15.75" customHeight="1">
      <c r="A837" s="20"/>
      <c r="B837" s="21"/>
      <c r="C837" s="22"/>
      <c r="D837" s="22"/>
      <c r="E837" s="22"/>
      <c r="F837" s="22"/>
      <c r="G837" s="23"/>
      <c r="H837" s="24"/>
      <c r="I837" s="25"/>
      <c r="N837" s="26"/>
      <c r="O837" s="26"/>
    </row>
    <row r="838" ht="15.75" customHeight="1">
      <c r="A838" s="20"/>
      <c r="B838" s="21"/>
      <c r="C838" s="22"/>
      <c r="D838" s="22"/>
      <c r="E838" s="22"/>
      <c r="F838" s="22"/>
      <c r="G838" s="23"/>
      <c r="H838" s="24"/>
      <c r="I838" s="25"/>
      <c r="N838" s="26"/>
      <c r="O838" s="26"/>
    </row>
    <row r="839" ht="15.75" customHeight="1">
      <c r="A839" s="20"/>
      <c r="B839" s="21"/>
      <c r="C839" s="22"/>
      <c r="D839" s="22"/>
      <c r="E839" s="22"/>
      <c r="F839" s="22"/>
      <c r="G839" s="23"/>
      <c r="H839" s="24"/>
      <c r="I839" s="25"/>
      <c r="N839" s="26"/>
      <c r="O839" s="26"/>
    </row>
    <row r="840" ht="15.75" customHeight="1">
      <c r="A840" s="20"/>
      <c r="B840" s="21"/>
      <c r="C840" s="22"/>
      <c r="D840" s="22"/>
      <c r="E840" s="22"/>
      <c r="F840" s="22"/>
      <c r="G840" s="23"/>
      <c r="H840" s="24"/>
      <c r="I840" s="25"/>
      <c r="N840" s="26"/>
      <c r="O840" s="26"/>
    </row>
    <row r="841" ht="15.75" customHeight="1">
      <c r="A841" s="20"/>
      <c r="B841" s="21"/>
      <c r="C841" s="22"/>
      <c r="D841" s="22"/>
      <c r="E841" s="22"/>
      <c r="F841" s="22"/>
      <c r="G841" s="23"/>
      <c r="H841" s="24"/>
      <c r="I841" s="25"/>
      <c r="N841" s="26"/>
      <c r="O841" s="26"/>
    </row>
    <row r="842" ht="15.75" customHeight="1">
      <c r="A842" s="20"/>
      <c r="B842" s="21"/>
      <c r="C842" s="22"/>
      <c r="D842" s="22"/>
      <c r="E842" s="22"/>
      <c r="F842" s="22"/>
      <c r="G842" s="23"/>
      <c r="H842" s="24"/>
      <c r="I842" s="25"/>
      <c r="N842" s="26"/>
      <c r="O842" s="26"/>
    </row>
    <row r="843" ht="15.75" customHeight="1">
      <c r="A843" s="20"/>
      <c r="B843" s="21"/>
      <c r="C843" s="22"/>
      <c r="D843" s="22"/>
      <c r="E843" s="22"/>
      <c r="F843" s="22"/>
      <c r="G843" s="23"/>
      <c r="H843" s="24"/>
      <c r="I843" s="25"/>
      <c r="N843" s="26"/>
      <c r="O843" s="26"/>
    </row>
    <row r="844" ht="15.75" customHeight="1">
      <c r="A844" s="20"/>
      <c r="B844" s="21"/>
      <c r="C844" s="22"/>
      <c r="D844" s="22"/>
      <c r="E844" s="22"/>
      <c r="F844" s="22"/>
      <c r="G844" s="23"/>
      <c r="H844" s="24"/>
      <c r="I844" s="25"/>
      <c r="N844" s="26"/>
      <c r="O844" s="26"/>
    </row>
    <row r="845" ht="15.75" customHeight="1">
      <c r="A845" s="20"/>
      <c r="B845" s="21"/>
      <c r="C845" s="22"/>
      <c r="D845" s="22"/>
      <c r="E845" s="22"/>
      <c r="F845" s="22"/>
      <c r="G845" s="23"/>
      <c r="H845" s="24"/>
      <c r="I845" s="25"/>
      <c r="N845" s="26"/>
      <c r="O845" s="26"/>
    </row>
    <row r="846" ht="15.75" customHeight="1">
      <c r="A846" s="20"/>
      <c r="B846" s="21"/>
      <c r="C846" s="22"/>
      <c r="D846" s="22"/>
      <c r="E846" s="22"/>
      <c r="F846" s="22"/>
      <c r="G846" s="23"/>
      <c r="H846" s="24"/>
      <c r="I846" s="25"/>
      <c r="N846" s="26"/>
      <c r="O846" s="26"/>
    </row>
    <row r="847" ht="15.75" customHeight="1">
      <c r="A847" s="20"/>
      <c r="B847" s="21"/>
      <c r="C847" s="22"/>
      <c r="D847" s="22"/>
      <c r="E847" s="22"/>
      <c r="F847" s="22"/>
      <c r="G847" s="23"/>
      <c r="H847" s="24"/>
      <c r="I847" s="25"/>
      <c r="N847" s="26"/>
      <c r="O847" s="26"/>
    </row>
    <row r="848" ht="15.75" customHeight="1">
      <c r="A848" s="20"/>
      <c r="B848" s="21"/>
      <c r="C848" s="22"/>
      <c r="D848" s="22"/>
      <c r="E848" s="22"/>
      <c r="F848" s="22"/>
      <c r="G848" s="23"/>
      <c r="H848" s="24"/>
      <c r="I848" s="25"/>
      <c r="N848" s="26"/>
      <c r="O848" s="26"/>
    </row>
    <row r="849" ht="15.75" customHeight="1">
      <c r="A849" s="20"/>
      <c r="B849" s="21"/>
      <c r="C849" s="22"/>
      <c r="D849" s="22"/>
      <c r="E849" s="22"/>
      <c r="F849" s="22"/>
      <c r="G849" s="23"/>
      <c r="H849" s="24"/>
      <c r="I849" s="25"/>
      <c r="N849" s="26"/>
      <c r="O849" s="26"/>
    </row>
    <row r="850" ht="15.75" customHeight="1">
      <c r="A850" s="20"/>
      <c r="B850" s="21"/>
      <c r="C850" s="22"/>
      <c r="D850" s="22"/>
      <c r="E850" s="22"/>
      <c r="F850" s="22"/>
      <c r="G850" s="23"/>
      <c r="H850" s="24"/>
      <c r="I850" s="25"/>
      <c r="N850" s="26"/>
      <c r="O850" s="26"/>
    </row>
    <row r="851" ht="15.75" customHeight="1">
      <c r="A851" s="20"/>
      <c r="B851" s="21"/>
      <c r="C851" s="22"/>
      <c r="D851" s="22"/>
      <c r="E851" s="22"/>
      <c r="F851" s="22"/>
      <c r="G851" s="23"/>
      <c r="H851" s="24"/>
      <c r="I851" s="25"/>
      <c r="N851" s="26"/>
      <c r="O851" s="26"/>
    </row>
    <row r="852" ht="15.75" customHeight="1">
      <c r="A852" s="20"/>
      <c r="B852" s="21"/>
      <c r="C852" s="22"/>
      <c r="D852" s="22"/>
      <c r="E852" s="22"/>
      <c r="F852" s="22"/>
      <c r="G852" s="23"/>
      <c r="H852" s="24"/>
      <c r="I852" s="25"/>
      <c r="N852" s="26"/>
      <c r="O852" s="26"/>
    </row>
    <row r="853" ht="15.75" customHeight="1">
      <c r="A853" s="20"/>
      <c r="B853" s="21"/>
      <c r="C853" s="22"/>
      <c r="D853" s="22"/>
      <c r="E853" s="22"/>
      <c r="F853" s="22"/>
      <c r="G853" s="23"/>
      <c r="H853" s="24"/>
      <c r="I853" s="25"/>
      <c r="N853" s="26"/>
      <c r="O853" s="26"/>
    </row>
    <row r="854" ht="15.75" customHeight="1">
      <c r="A854" s="20"/>
      <c r="B854" s="21"/>
      <c r="C854" s="22"/>
      <c r="D854" s="22"/>
      <c r="E854" s="22"/>
      <c r="F854" s="22"/>
      <c r="G854" s="23"/>
      <c r="H854" s="24"/>
      <c r="I854" s="25"/>
      <c r="N854" s="26"/>
      <c r="O854" s="26"/>
    </row>
    <row r="855" ht="15.75" customHeight="1">
      <c r="A855" s="20"/>
      <c r="B855" s="21"/>
      <c r="C855" s="22"/>
      <c r="D855" s="22"/>
      <c r="E855" s="22"/>
      <c r="F855" s="22"/>
      <c r="G855" s="23"/>
      <c r="H855" s="24"/>
      <c r="I855" s="25"/>
      <c r="N855" s="26"/>
      <c r="O855" s="26"/>
    </row>
    <row r="856" ht="15.75" customHeight="1">
      <c r="A856" s="20"/>
      <c r="B856" s="21"/>
      <c r="C856" s="22"/>
      <c r="D856" s="22"/>
      <c r="E856" s="22"/>
      <c r="F856" s="22"/>
      <c r="G856" s="23"/>
      <c r="H856" s="24"/>
      <c r="I856" s="25"/>
      <c r="N856" s="26"/>
      <c r="O856" s="26"/>
    </row>
    <row r="857" ht="15.75" customHeight="1">
      <c r="A857" s="20"/>
      <c r="B857" s="21"/>
      <c r="C857" s="22"/>
      <c r="D857" s="22"/>
      <c r="E857" s="22"/>
      <c r="F857" s="22"/>
      <c r="G857" s="23"/>
      <c r="H857" s="24"/>
      <c r="I857" s="25"/>
      <c r="N857" s="26"/>
      <c r="O857" s="26"/>
    </row>
    <row r="858" ht="15.75" customHeight="1">
      <c r="A858" s="20"/>
      <c r="B858" s="21"/>
      <c r="C858" s="22"/>
      <c r="D858" s="22"/>
      <c r="E858" s="22"/>
      <c r="F858" s="22"/>
      <c r="G858" s="23"/>
      <c r="H858" s="24"/>
      <c r="I858" s="25"/>
      <c r="N858" s="26"/>
      <c r="O858" s="26"/>
    </row>
    <row r="859" ht="15.75" customHeight="1">
      <c r="A859" s="20"/>
      <c r="B859" s="21"/>
      <c r="C859" s="22"/>
      <c r="D859" s="22"/>
      <c r="E859" s="22"/>
      <c r="F859" s="22"/>
      <c r="G859" s="23"/>
      <c r="H859" s="24"/>
      <c r="I859" s="25"/>
      <c r="N859" s="26"/>
      <c r="O859" s="26"/>
    </row>
    <row r="860" ht="15.75" customHeight="1">
      <c r="A860" s="20"/>
      <c r="B860" s="21"/>
      <c r="C860" s="22"/>
      <c r="D860" s="22"/>
      <c r="E860" s="22"/>
      <c r="F860" s="22"/>
      <c r="G860" s="23"/>
      <c r="H860" s="24"/>
      <c r="I860" s="25"/>
      <c r="N860" s="26"/>
      <c r="O860" s="26"/>
    </row>
    <row r="861" ht="15.75" customHeight="1">
      <c r="A861" s="20"/>
      <c r="B861" s="21"/>
      <c r="C861" s="22"/>
      <c r="D861" s="22"/>
      <c r="E861" s="22"/>
      <c r="F861" s="22"/>
      <c r="G861" s="23"/>
      <c r="H861" s="24"/>
      <c r="I861" s="25"/>
      <c r="N861" s="26"/>
      <c r="O861" s="26"/>
    </row>
    <row r="862" ht="15.75" customHeight="1">
      <c r="A862" s="20"/>
      <c r="B862" s="21"/>
      <c r="C862" s="22"/>
      <c r="D862" s="22"/>
      <c r="E862" s="22"/>
      <c r="F862" s="22"/>
      <c r="G862" s="23"/>
      <c r="H862" s="24"/>
      <c r="I862" s="25"/>
      <c r="N862" s="26"/>
      <c r="O862" s="26"/>
    </row>
    <row r="863" ht="15.75" customHeight="1">
      <c r="A863" s="20"/>
      <c r="B863" s="21"/>
      <c r="C863" s="22"/>
      <c r="D863" s="22"/>
      <c r="E863" s="22"/>
      <c r="F863" s="22"/>
      <c r="G863" s="23"/>
      <c r="H863" s="24"/>
      <c r="I863" s="25"/>
      <c r="N863" s="26"/>
      <c r="O863" s="26"/>
    </row>
    <row r="864" ht="15.75" customHeight="1">
      <c r="A864" s="20"/>
      <c r="B864" s="21"/>
      <c r="C864" s="22"/>
      <c r="D864" s="22"/>
      <c r="E864" s="22"/>
      <c r="F864" s="22"/>
      <c r="G864" s="23"/>
      <c r="H864" s="24"/>
      <c r="I864" s="25"/>
      <c r="N864" s="26"/>
      <c r="O864" s="26"/>
    </row>
    <row r="865" ht="15.75" customHeight="1">
      <c r="A865" s="20"/>
      <c r="B865" s="21"/>
      <c r="C865" s="22"/>
      <c r="D865" s="22"/>
      <c r="E865" s="22"/>
      <c r="F865" s="22"/>
      <c r="G865" s="23"/>
      <c r="H865" s="24"/>
      <c r="I865" s="25"/>
      <c r="N865" s="26"/>
      <c r="O865" s="26"/>
    </row>
    <row r="866" ht="15.75" customHeight="1">
      <c r="A866" s="20"/>
      <c r="B866" s="21"/>
      <c r="C866" s="22"/>
      <c r="D866" s="22"/>
      <c r="E866" s="22"/>
      <c r="F866" s="22"/>
      <c r="G866" s="23"/>
      <c r="H866" s="24"/>
      <c r="I866" s="25"/>
      <c r="N866" s="26"/>
      <c r="O866" s="26"/>
    </row>
    <row r="867" ht="15.75" customHeight="1">
      <c r="A867" s="20"/>
      <c r="B867" s="21"/>
      <c r="C867" s="22"/>
      <c r="D867" s="22"/>
      <c r="E867" s="22"/>
      <c r="F867" s="22"/>
      <c r="G867" s="23"/>
      <c r="H867" s="24"/>
      <c r="I867" s="25"/>
      <c r="N867" s="26"/>
      <c r="O867" s="26"/>
    </row>
    <row r="868" ht="15.75" customHeight="1">
      <c r="A868" s="20"/>
      <c r="B868" s="21"/>
      <c r="C868" s="22"/>
      <c r="D868" s="22"/>
      <c r="E868" s="22"/>
      <c r="F868" s="22"/>
      <c r="G868" s="23"/>
      <c r="H868" s="24"/>
      <c r="I868" s="25"/>
      <c r="N868" s="26"/>
      <c r="O868" s="26"/>
    </row>
    <row r="869" ht="15.75" customHeight="1">
      <c r="A869" s="20"/>
      <c r="B869" s="21"/>
      <c r="C869" s="22"/>
      <c r="D869" s="22"/>
      <c r="E869" s="22"/>
      <c r="F869" s="22"/>
      <c r="G869" s="23"/>
      <c r="H869" s="24"/>
      <c r="I869" s="25"/>
      <c r="N869" s="26"/>
      <c r="O869" s="26"/>
    </row>
    <row r="870" ht="15.75" customHeight="1">
      <c r="A870" s="20"/>
      <c r="B870" s="21"/>
      <c r="C870" s="22"/>
      <c r="D870" s="22"/>
      <c r="E870" s="22"/>
      <c r="F870" s="22"/>
      <c r="G870" s="23"/>
      <c r="H870" s="24"/>
      <c r="I870" s="25"/>
      <c r="N870" s="26"/>
      <c r="O870" s="26"/>
    </row>
    <row r="871" ht="15.75" customHeight="1">
      <c r="A871" s="20"/>
      <c r="B871" s="21"/>
      <c r="C871" s="22"/>
      <c r="D871" s="22"/>
      <c r="E871" s="22"/>
      <c r="F871" s="22"/>
      <c r="G871" s="23"/>
      <c r="H871" s="24"/>
      <c r="I871" s="25"/>
      <c r="N871" s="26"/>
      <c r="O871" s="26"/>
    </row>
    <row r="872" ht="15.75" customHeight="1">
      <c r="A872" s="20"/>
      <c r="B872" s="21"/>
      <c r="C872" s="22"/>
      <c r="D872" s="22"/>
      <c r="E872" s="22"/>
      <c r="F872" s="22"/>
      <c r="G872" s="23"/>
      <c r="H872" s="24"/>
      <c r="I872" s="25"/>
      <c r="N872" s="26"/>
      <c r="O872" s="26"/>
    </row>
    <row r="873" ht="15.75" customHeight="1">
      <c r="A873" s="20"/>
      <c r="B873" s="21"/>
      <c r="C873" s="22"/>
      <c r="D873" s="22"/>
      <c r="E873" s="22"/>
      <c r="F873" s="22"/>
      <c r="G873" s="23"/>
      <c r="H873" s="24"/>
      <c r="I873" s="25"/>
      <c r="N873" s="26"/>
      <c r="O873" s="26"/>
    </row>
    <row r="874" ht="15.75" customHeight="1">
      <c r="A874" s="20"/>
      <c r="B874" s="21"/>
      <c r="C874" s="22"/>
      <c r="D874" s="22"/>
      <c r="E874" s="22"/>
      <c r="F874" s="22"/>
      <c r="G874" s="23"/>
      <c r="H874" s="24"/>
      <c r="I874" s="25"/>
      <c r="N874" s="26"/>
      <c r="O874" s="26"/>
    </row>
    <row r="875" ht="15.75" customHeight="1">
      <c r="A875" s="20"/>
      <c r="B875" s="21"/>
      <c r="C875" s="22"/>
      <c r="D875" s="22"/>
      <c r="E875" s="22"/>
      <c r="F875" s="22"/>
      <c r="G875" s="23"/>
      <c r="H875" s="24"/>
      <c r="I875" s="25"/>
      <c r="N875" s="26"/>
      <c r="O875" s="26"/>
    </row>
    <row r="876" ht="15.75" customHeight="1">
      <c r="A876" s="20"/>
      <c r="B876" s="21"/>
      <c r="C876" s="22"/>
      <c r="D876" s="22"/>
      <c r="E876" s="22"/>
      <c r="F876" s="22"/>
      <c r="G876" s="23"/>
      <c r="H876" s="24"/>
      <c r="I876" s="25"/>
      <c r="N876" s="26"/>
      <c r="O876" s="26"/>
    </row>
    <row r="877" ht="15.75" customHeight="1">
      <c r="A877" s="20"/>
      <c r="B877" s="21"/>
      <c r="C877" s="22"/>
      <c r="D877" s="22"/>
      <c r="E877" s="22"/>
      <c r="F877" s="22"/>
      <c r="G877" s="23"/>
      <c r="H877" s="24"/>
      <c r="I877" s="25"/>
      <c r="N877" s="26"/>
      <c r="O877" s="26"/>
    </row>
    <row r="878" ht="15.75" customHeight="1">
      <c r="A878" s="20"/>
      <c r="B878" s="21"/>
      <c r="C878" s="22"/>
      <c r="D878" s="22"/>
      <c r="E878" s="22"/>
      <c r="F878" s="22"/>
      <c r="G878" s="23"/>
      <c r="H878" s="24"/>
      <c r="I878" s="25"/>
      <c r="N878" s="26"/>
      <c r="O878" s="26"/>
    </row>
    <row r="879" ht="15.75" customHeight="1">
      <c r="A879" s="20"/>
      <c r="B879" s="21"/>
      <c r="C879" s="22"/>
      <c r="D879" s="22"/>
      <c r="E879" s="22"/>
      <c r="F879" s="22"/>
      <c r="G879" s="23"/>
      <c r="H879" s="24"/>
      <c r="I879" s="25"/>
      <c r="N879" s="26"/>
      <c r="O879" s="26"/>
    </row>
    <row r="880" ht="15.75" customHeight="1">
      <c r="A880" s="20"/>
      <c r="B880" s="21"/>
      <c r="C880" s="22"/>
      <c r="D880" s="22"/>
      <c r="E880" s="22"/>
      <c r="F880" s="22"/>
      <c r="G880" s="23"/>
      <c r="H880" s="24"/>
      <c r="I880" s="25"/>
      <c r="N880" s="26"/>
      <c r="O880" s="26"/>
    </row>
    <row r="881" ht="15.75" customHeight="1">
      <c r="A881" s="20"/>
      <c r="B881" s="21"/>
      <c r="C881" s="22"/>
      <c r="D881" s="22"/>
      <c r="E881" s="22"/>
      <c r="F881" s="22"/>
      <c r="G881" s="23"/>
      <c r="H881" s="24"/>
      <c r="I881" s="25"/>
      <c r="N881" s="26"/>
      <c r="O881" s="26"/>
    </row>
    <row r="882" ht="15.75" customHeight="1">
      <c r="A882" s="20"/>
      <c r="B882" s="21"/>
      <c r="C882" s="22"/>
      <c r="D882" s="22"/>
      <c r="E882" s="22"/>
      <c r="F882" s="22"/>
      <c r="G882" s="23"/>
      <c r="H882" s="24"/>
      <c r="I882" s="25"/>
      <c r="N882" s="26"/>
      <c r="O882" s="26"/>
    </row>
    <row r="883" ht="15.75" customHeight="1">
      <c r="A883" s="20"/>
      <c r="B883" s="21"/>
      <c r="C883" s="22"/>
      <c r="D883" s="22"/>
      <c r="E883" s="22"/>
      <c r="F883" s="22"/>
      <c r="G883" s="23"/>
      <c r="H883" s="24"/>
      <c r="I883" s="25"/>
      <c r="N883" s="26"/>
      <c r="O883" s="26"/>
    </row>
    <row r="884" ht="15.75" customHeight="1">
      <c r="A884" s="20"/>
      <c r="B884" s="21"/>
      <c r="C884" s="22"/>
      <c r="D884" s="22"/>
      <c r="E884" s="22"/>
      <c r="F884" s="22"/>
      <c r="G884" s="23"/>
      <c r="H884" s="24"/>
      <c r="I884" s="25"/>
      <c r="N884" s="26"/>
      <c r="O884" s="26"/>
    </row>
    <row r="885" ht="15.75" customHeight="1">
      <c r="A885" s="20"/>
      <c r="B885" s="21"/>
      <c r="C885" s="22"/>
      <c r="D885" s="22"/>
      <c r="E885" s="22"/>
      <c r="F885" s="22"/>
      <c r="G885" s="23"/>
      <c r="H885" s="24"/>
      <c r="I885" s="25"/>
      <c r="N885" s="26"/>
      <c r="O885" s="26"/>
    </row>
    <row r="886" ht="15.75" customHeight="1">
      <c r="A886" s="20"/>
      <c r="B886" s="21"/>
      <c r="C886" s="22"/>
      <c r="D886" s="22"/>
      <c r="E886" s="22"/>
      <c r="F886" s="22"/>
      <c r="G886" s="23"/>
      <c r="H886" s="24"/>
      <c r="I886" s="25"/>
      <c r="N886" s="26"/>
      <c r="O886" s="26"/>
    </row>
    <row r="887" ht="15.75" customHeight="1">
      <c r="A887" s="20"/>
      <c r="B887" s="21"/>
      <c r="C887" s="22"/>
      <c r="D887" s="22"/>
      <c r="E887" s="22"/>
      <c r="F887" s="22"/>
      <c r="G887" s="23"/>
      <c r="H887" s="24"/>
      <c r="I887" s="25"/>
      <c r="N887" s="26"/>
      <c r="O887" s="26"/>
    </row>
    <row r="888" ht="15.75" customHeight="1">
      <c r="A888" s="20"/>
      <c r="B888" s="21"/>
      <c r="C888" s="22"/>
      <c r="D888" s="22"/>
      <c r="E888" s="22"/>
      <c r="F888" s="22"/>
      <c r="G888" s="23"/>
      <c r="H888" s="24"/>
      <c r="I888" s="25"/>
      <c r="N888" s="26"/>
      <c r="O888" s="26"/>
    </row>
    <row r="889" ht="15.75" customHeight="1">
      <c r="A889" s="20"/>
      <c r="B889" s="21"/>
      <c r="C889" s="22"/>
      <c r="D889" s="22"/>
      <c r="E889" s="22"/>
      <c r="F889" s="22"/>
      <c r="G889" s="23"/>
      <c r="H889" s="24"/>
      <c r="I889" s="25"/>
      <c r="N889" s="26"/>
      <c r="O889" s="26"/>
    </row>
    <row r="890" ht="15.75" customHeight="1">
      <c r="A890" s="20"/>
      <c r="B890" s="21"/>
      <c r="C890" s="22"/>
      <c r="D890" s="22"/>
      <c r="E890" s="22"/>
      <c r="F890" s="22"/>
      <c r="G890" s="23"/>
      <c r="H890" s="24"/>
      <c r="I890" s="25"/>
      <c r="N890" s="26"/>
      <c r="O890" s="26"/>
    </row>
    <row r="891" ht="15.75" customHeight="1">
      <c r="A891" s="20"/>
      <c r="B891" s="21"/>
      <c r="C891" s="22"/>
      <c r="D891" s="22"/>
      <c r="E891" s="22"/>
      <c r="F891" s="22"/>
      <c r="G891" s="23"/>
      <c r="H891" s="24"/>
      <c r="I891" s="25"/>
      <c r="N891" s="26"/>
      <c r="O891" s="26"/>
    </row>
    <row r="892" ht="15.75" customHeight="1">
      <c r="A892" s="20"/>
      <c r="B892" s="21"/>
      <c r="C892" s="22"/>
      <c r="D892" s="22"/>
      <c r="E892" s="22"/>
      <c r="F892" s="22"/>
      <c r="G892" s="23"/>
      <c r="H892" s="24"/>
      <c r="I892" s="25"/>
      <c r="N892" s="26"/>
      <c r="O892" s="26"/>
    </row>
    <row r="893" ht="15.75" customHeight="1">
      <c r="A893" s="20"/>
      <c r="B893" s="21"/>
      <c r="C893" s="22"/>
      <c r="D893" s="22"/>
      <c r="E893" s="22"/>
      <c r="F893" s="22"/>
      <c r="G893" s="23"/>
      <c r="H893" s="24"/>
      <c r="I893" s="25"/>
      <c r="N893" s="26"/>
      <c r="O893" s="26"/>
    </row>
    <row r="894" ht="15.75" customHeight="1">
      <c r="A894" s="20"/>
      <c r="B894" s="21"/>
      <c r="C894" s="22"/>
      <c r="D894" s="22"/>
      <c r="E894" s="22"/>
      <c r="F894" s="22"/>
      <c r="G894" s="23"/>
      <c r="H894" s="24"/>
      <c r="I894" s="25"/>
      <c r="N894" s="26"/>
      <c r="O894" s="26"/>
    </row>
    <row r="895" ht="15.75" customHeight="1">
      <c r="A895" s="20"/>
      <c r="B895" s="21"/>
      <c r="C895" s="22"/>
      <c r="D895" s="22"/>
      <c r="E895" s="22"/>
      <c r="F895" s="22"/>
      <c r="G895" s="23"/>
      <c r="H895" s="24"/>
      <c r="I895" s="25"/>
      <c r="N895" s="26"/>
      <c r="O895" s="26"/>
    </row>
    <row r="896" ht="15.75" customHeight="1">
      <c r="A896" s="20"/>
      <c r="B896" s="21"/>
      <c r="C896" s="22"/>
      <c r="D896" s="22"/>
      <c r="E896" s="22"/>
      <c r="F896" s="22"/>
      <c r="G896" s="23"/>
      <c r="H896" s="24"/>
      <c r="I896" s="25"/>
      <c r="N896" s="26"/>
      <c r="O896" s="26"/>
    </row>
    <row r="897" ht="15.75" customHeight="1">
      <c r="A897" s="20"/>
      <c r="B897" s="21"/>
      <c r="C897" s="22"/>
      <c r="D897" s="22"/>
      <c r="E897" s="22"/>
      <c r="F897" s="22"/>
      <c r="G897" s="23"/>
      <c r="H897" s="24"/>
      <c r="I897" s="25"/>
      <c r="N897" s="26"/>
      <c r="O897" s="26"/>
    </row>
    <row r="898" ht="15.75" customHeight="1">
      <c r="A898" s="20"/>
      <c r="B898" s="21"/>
      <c r="C898" s="22"/>
      <c r="D898" s="22"/>
      <c r="E898" s="22"/>
      <c r="F898" s="22"/>
      <c r="G898" s="23"/>
      <c r="H898" s="24"/>
      <c r="I898" s="25"/>
      <c r="N898" s="26"/>
      <c r="O898" s="26"/>
    </row>
    <row r="899" ht="15.75" customHeight="1">
      <c r="A899" s="20"/>
      <c r="B899" s="21"/>
      <c r="C899" s="22"/>
      <c r="D899" s="22"/>
      <c r="E899" s="22"/>
      <c r="F899" s="22"/>
      <c r="G899" s="23"/>
      <c r="H899" s="24"/>
      <c r="I899" s="25"/>
      <c r="N899" s="26"/>
      <c r="O899" s="26"/>
    </row>
    <row r="900" ht="15.75" customHeight="1">
      <c r="A900" s="20"/>
      <c r="B900" s="21"/>
      <c r="C900" s="22"/>
      <c r="D900" s="22"/>
      <c r="E900" s="22"/>
      <c r="F900" s="22"/>
      <c r="G900" s="23"/>
      <c r="H900" s="24"/>
      <c r="I900" s="25"/>
      <c r="N900" s="26"/>
      <c r="O900" s="26"/>
    </row>
    <row r="901" ht="15.75" customHeight="1">
      <c r="A901" s="20"/>
      <c r="B901" s="21"/>
      <c r="C901" s="22"/>
      <c r="D901" s="22"/>
      <c r="E901" s="22"/>
      <c r="F901" s="22"/>
      <c r="G901" s="23"/>
      <c r="H901" s="24"/>
      <c r="I901" s="25"/>
      <c r="N901" s="26"/>
      <c r="O901" s="26"/>
    </row>
    <row r="902" ht="15.75" customHeight="1">
      <c r="A902" s="20"/>
      <c r="B902" s="21"/>
      <c r="C902" s="22"/>
      <c r="D902" s="22"/>
      <c r="E902" s="22"/>
      <c r="F902" s="22"/>
      <c r="G902" s="23"/>
      <c r="H902" s="24"/>
      <c r="I902" s="25"/>
      <c r="N902" s="26"/>
      <c r="O902" s="26"/>
    </row>
    <row r="903" ht="15.75" customHeight="1">
      <c r="A903" s="20"/>
      <c r="B903" s="21"/>
      <c r="C903" s="22"/>
      <c r="D903" s="22"/>
      <c r="E903" s="22"/>
      <c r="F903" s="22"/>
      <c r="G903" s="23"/>
      <c r="H903" s="24"/>
      <c r="I903" s="25"/>
      <c r="N903" s="26"/>
      <c r="O903" s="26"/>
    </row>
    <row r="904" ht="15.75" customHeight="1">
      <c r="A904" s="20"/>
      <c r="B904" s="21"/>
      <c r="C904" s="22"/>
      <c r="D904" s="22"/>
      <c r="E904" s="22"/>
      <c r="F904" s="22"/>
      <c r="G904" s="23"/>
      <c r="H904" s="24"/>
      <c r="I904" s="25"/>
      <c r="N904" s="26"/>
      <c r="O904" s="26"/>
    </row>
    <row r="905" ht="15.75" customHeight="1">
      <c r="A905" s="20"/>
      <c r="B905" s="21"/>
      <c r="C905" s="22"/>
      <c r="D905" s="22"/>
      <c r="E905" s="22"/>
      <c r="F905" s="22"/>
      <c r="G905" s="23"/>
      <c r="H905" s="24"/>
      <c r="I905" s="25"/>
      <c r="N905" s="26"/>
      <c r="O905" s="26"/>
    </row>
    <row r="906" ht="15.75" customHeight="1">
      <c r="A906" s="20"/>
      <c r="B906" s="21"/>
      <c r="C906" s="22"/>
      <c r="D906" s="22"/>
      <c r="E906" s="22"/>
      <c r="F906" s="22"/>
      <c r="G906" s="23"/>
      <c r="H906" s="24"/>
      <c r="I906" s="25"/>
      <c r="N906" s="26"/>
      <c r="O906" s="26"/>
    </row>
    <row r="907" ht="15.75" customHeight="1">
      <c r="A907" s="20"/>
      <c r="B907" s="21"/>
      <c r="C907" s="22"/>
      <c r="D907" s="22"/>
      <c r="E907" s="22"/>
      <c r="F907" s="22"/>
      <c r="G907" s="23"/>
      <c r="H907" s="24"/>
      <c r="I907" s="25"/>
      <c r="N907" s="26"/>
      <c r="O907" s="26"/>
    </row>
    <row r="908" ht="15.75" customHeight="1">
      <c r="A908" s="20"/>
      <c r="B908" s="21"/>
      <c r="C908" s="22"/>
      <c r="D908" s="22"/>
      <c r="E908" s="22"/>
      <c r="F908" s="22"/>
      <c r="G908" s="23"/>
      <c r="H908" s="24"/>
      <c r="I908" s="25"/>
      <c r="N908" s="26"/>
      <c r="O908" s="26"/>
    </row>
    <row r="909" ht="15.75" customHeight="1">
      <c r="A909" s="20"/>
      <c r="B909" s="21"/>
      <c r="C909" s="22"/>
      <c r="D909" s="22"/>
      <c r="E909" s="22"/>
      <c r="F909" s="22"/>
      <c r="G909" s="23"/>
      <c r="H909" s="24"/>
      <c r="I909" s="25"/>
      <c r="N909" s="26"/>
      <c r="O909" s="26"/>
    </row>
    <row r="910" ht="15.75" customHeight="1">
      <c r="A910" s="20"/>
      <c r="B910" s="21"/>
      <c r="C910" s="22"/>
      <c r="D910" s="22"/>
      <c r="E910" s="22"/>
      <c r="F910" s="22"/>
      <c r="G910" s="23"/>
      <c r="H910" s="24"/>
      <c r="I910" s="25"/>
      <c r="N910" s="26"/>
      <c r="O910" s="26"/>
    </row>
    <row r="911" ht="15.75" customHeight="1">
      <c r="A911" s="20"/>
      <c r="B911" s="21"/>
      <c r="C911" s="22"/>
      <c r="D911" s="22"/>
      <c r="E911" s="22"/>
      <c r="F911" s="22"/>
      <c r="G911" s="23"/>
      <c r="H911" s="24"/>
      <c r="I911" s="25"/>
      <c r="N911" s="26"/>
      <c r="O911" s="26"/>
    </row>
    <row r="912" ht="15.75" customHeight="1">
      <c r="A912" s="20"/>
      <c r="B912" s="21"/>
      <c r="C912" s="22"/>
      <c r="D912" s="22"/>
      <c r="E912" s="22"/>
      <c r="F912" s="22"/>
      <c r="G912" s="23"/>
      <c r="H912" s="24"/>
      <c r="I912" s="25"/>
      <c r="N912" s="26"/>
      <c r="O912" s="26"/>
    </row>
    <row r="913" ht="15.75" customHeight="1">
      <c r="A913" s="20"/>
      <c r="B913" s="21"/>
      <c r="C913" s="22"/>
      <c r="D913" s="22"/>
      <c r="E913" s="22"/>
      <c r="F913" s="22"/>
      <c r="G913" s="23"/>
      <c r="H913" s="24"/>
      <c r="I913" s="25"/>
      <c r="N913" s="26"/>
      <c r="O913" s="26"/>
    </row>
    <row r="914" ht="15.75" customHeight="1">
      <c r="A914" s="20"/>
      <c r="B914" s="21"/>
      <c r="C914" s="22"/>
      <c r="D914" s="22"/>
      <c r="E914" s="22"/>
      <c r="F914" s="22"/>
      <c r="G914" s="23"/>
      <c r="H914" s="24"/>
      <c r="I914" s="25"/>
      <c r="N914" s="26"/>
      <c r="O914" s="26"/>
    </row>
    <row r="915" ht="15.75" customHeight="1">
      <c r="A915" s="20"/>
      <c r="B915" s="21"/>
      <c r="C915" s="22"/>
      <c r="D915" s="22"/>
      <c r="E915" s="22"/>
      <c r="F915" s="22"/>
      <c r="G915" s="23"/>
      <c r="H915" s="24"/>
      <c r="I915" s="25"/>
      <c r="N915" s="26"/>
      <c r="O915" s="26"/>
    </row>
    <row r="916" ht="15.75" customHeight="1">
      <c r="A916" s="20"/>
      <c r="B916" s="21"/>
      <c r="C916" s="22"/>
      <c r="D916" s="22"/>
      <c r="E916" s="22"/>
      <c r="F916" s="22"/>
      <c r="G916" s="23"/>
      <c r="H916" s="24"/>
      <c r="I916" s="25"/>
      <c r="N916" s="26"/>
      <c r="O916" s="26"/>
    </row>
    <row r="917" ht="15.75" customHeight="1">
      <c r="A917" s="20"/>
      <c r="B917" s="21"/>
      <c r="C917" s="22"/>
      <c r="D917" s="22"/>
      <c r="E917" s="22"/>
      <c r="F917" s="22"/>
      <c r="G917" s="23"/>
      <c r="H917" s="24"/>
      <c r="I917" s="25"/>
      <c r="N917" s="26"/>
      <c r="O917" s="26"/>
    </row>
    <row r="918" ht="15.75" customHeight="1">
      <c r="A918" s="20"/>
      <c r="B918" s="21"/>
      <c r="C918" s="22"/>
      <c r="D918" s="22"/>
      <c r="E918" s="22"/>
      <c r="F918" s="22"/>
      <c r="G918" s="23"/>
      <c r="H918" s="24"/>
      <c r="I918" s="25"/>
      <c r="N918" s="26"/>
      <c r="O918" s="26"/>
    </row>
    <row r="919" ht="15.75" customHeight="1">
      <c r="A919" s="20"/>
      <c r="B919" s="21"/>
      <c r="C919" s="22"/>
      <c r="D919" s="22"/>
      <c r="E919" s="22"/>
      <c r="F919" s="22"/>
      <c r="G919" s="23"/>
      <c r="H919" s="24"/>
      <c r="I919" s="25"/>
      <c r="N919" s="26"/>
      <c r="O919" s="26"/>
    </row>
    <row r="920" ht="15.75" customHeight="1">
      <c r="A920" s="20"/>
      <c r="B920" s="21"/>
      <c r="C920" s="22"/>
      <c r="D920" s="22"/>
      <c r="E920" s="22"/>
      <c r="F920" s="22"/>
      <c r="G920" s="23"/>
      <c r="H920" s="24"/>
      <c r="I920" s="25"/>
      <c r="N920" s="26"/>
      <c r="O920" s="26"/>
    </row>
    <row r="921" ht="15.75" customHeight="1">
      <c r="A921" s="20"/>
      <c r="B921" s="21"/>
      <c r="C921" s="22"/>
      <c r="D921" s="22"/>
      <c r="E921" s="22"/>
      <c r="F921" s="22"/>
      <c r="G921" s="23"/>
      <c r="H921" s="24"/>
      <c r="I921" s="25"/>
      <c r="N921" s="26"/>
      <c r="O921" s="26"/>
    </row>
    <row r="922" ht="15.75" customHeight="1">
      <c r="A922" s="20"/>
      <c r="B922" s="21"/>
      <c r="C922" s="22"/>
      <c r="D922" s="22"/>
      <c r="E922" s="22"/>
      <c r="F922" s="22"/>
      <c r="G922" s="23"/>
      <c r="H922" s="24"/>
      <c r="I922" s="25"/>
      <c r="N922" s="26"/>
      <c r="O922" s="26"/>
    </row>
    <row r="923" ht="15.75" customHeight="1">
      <c r="A923" s="20"/>
      <c r="B923" s="21"/>
      <c r="C923" s="22"/>
      <c r="D923" s="22"/>
      <c r="E923" s="22"/>
      <c r="F923" s="22"/>
      <c r="G923" s="23"/>
      <c r="H923" s="24"/>
      <c r="I923" s="25"/>
      <c r="N923" s="26"/>
      <c r="O923" s="26"/>
    </row>
    <row r="924" ht="15.75" customHeight="1">
      <c r="A924" s="20"/>
      <c r="B924" s="21"/>
      <c r="C924" s="22"/>
      <c r="D924" s="22"/>
      <c r="E924" s="22"/>
      <c r="F924" s="22"/>
      <c r="G924" s="23"/>
      <c r="H924" s="24"/>
      <c r="I924" s="25"/>
      <c r="N924" s="26"/>
      <c r="O924" s="26"/>
    </row>
    <row r="925" ht="15.75" customHeight="1">
      <c r="A925" s="20"/>
      <c r="B925" s="21"/>
      <c r="C925" s="22"/>
      <c r="D925" s="22"/>
      <c r="E925" s="22"/>
      <c r="F925" s="22"/>
      <c r="G925" s="23"/>
      <c r="H925" s="24"/>
      <c r="I925" s="25"/>
      <c r="N925" s="26"/>
      <c r="O925" s="26"/>
    </row>
    <row r="926" ht="15.75" customHeight="1">
      <c r="A926" s="20"/>
      <c r="B926" s="21"/>
      <c r="C926" s="22"/>
      <c r="D926" s="22"/>
      <c r="E926" s="22"/>
      <c r="F926" s="22"/>
      <c r="G926" s="23"/>
      <c r="H926" s="24"/>
      <c r="I926" s="25"/>
      <c r="N926" s="26"/>
      <c r="O926" s="26"/>
    </row>
    <row r="927" ht="15.75" customHeight="1">
      <c r="A927" s="20"/>
      <c r="B927" s="21"/>
      <c r="C927" s="22"/>
      <c r="D927" s="22"/>
      <c r="E927" s="22"/>
      <c r="F927" s="22"/>
      <c r="G927" s="23"/>
      <c r="H927" s="24"/>
      <c r="I927" s="25"/>
      <c r="N927" s="26"/>
      <c r="O927" s="26"/>
    </row>
    <row r="928" ht="15.75" customHeight="1">
      <c r="A928" s="20"/>
      <c r="B928" s="21"/>
      <c r="C928" s="22"/>
      <c r="D928" s="22"/>
      <c r="E928" s="22"/>
      <c r="F928" s="22"/>
      <c r="G928" s="23"/>
      <c r="H928" s="24"/>
      <c r="I928" s="25"/>
      <c r="N928" s="26"/>
      <c r="O928" s="26"/>
    </row>
    <row r="929" ht="15.75" customHeight="1">
      <c r="A929" s="20"/>
      <c r="B929" s="21"/>
      <c r="C929" s="22"/>
      <c r="D929" s="22"/>
      <c r="E929" s="22"/>
      <c r="F929" s="22"/>
      <c r="G929" s="23"/>
      <c r="H929" s="24"/>
      <c r="I929" s="25"/>
      <c r="N929" s="26"/>
      <c r="O929" s="26"/>
    </row>
    <row r="930" ht="15.75" customHeight="1">
      <c r="A930" s="20"/>
      <c r="B930" s="21"/>
      <c r="C930" s="22"/>
      <c r="D930" s="22"/>
      <c r="E930" s="22"/>
      <c r="F930" s="22"/>
      <c r="G930" s="23"/>
      <c r="H930" s="24"/>
      <c r="I930" s="25"/>
      <c r="N930" s="26"/>
      <c r="O930" s="26"/>
    </row>
    <row r="931" ht="15.75" customHeight="1">
      <c r="A931" s="20"/>
      <c r="B931" s="21"/>
      <c r="C931" s="22"/>
      <c r="D931" s="22"/>
      <c r="E931" s="22"/>
      <c r="F931" s="22"/>
      <c r="G931" s="23"/>
      <c r="H931" s="24"/>
      <c r="I931" s="25"/>
      <c r="N931" s="26"/>
      <c r="O931" s="26"/>
    </row>
    <row r="932" ht="15.75" customHeight="1">
      <c r="A932" s="20"/>
      <c r="B932" s="21"/>
      <c r="C932" s="22"/>
      <c r="D932" s="22"/>
      <c r="E932" s="22"/>
      <c r="F932" s="22"/>
      <c r="G932" s="23"/>
      <c r="H932" s="24"/>
      <c r="I932" s="25"/>
      <c r="N932" s="26"/>
      <c r="O932" s="26"/>
    </row>
    <row r="933" ht="15.75" customHeight="1">
      <c r="A933" s="20"/>
      <c r="B933" s="21"/>
      <c r="C933" s="22"/>
      <c r="D933" s="22"/>
      <c r="E933" s="22"/>
      <c r="F933" s="22"/>
      <c r="G933" s="23"/>
      <c r="H933" s="24"/>
      <c r="I933" s="25"/>
      <c r="N933" s="26"/>
      <c r="O933" s="26"/>
    </row>
    <row r="934" ht="15.75" customHeight="1">
      <c r="A934" s="20"/>
      <c r="B934" s="21"/>
      <c r="C934" s="22"/>
      <c r="D934" s="22"/>
      <c r="E934" s="22"/>
      <c r="F934" s="22"/>
      <c r="G934" s="23"/>
      <c r="H934" s="24"/>
      <c r="I934" s="25"/>
      <c r="N934" s="26"/>
      <c r="O934" s="26"/>
    </row>
    <row r="935" ht="15.75" customHeight="1">
      <c r="A935" s="20"/>
      <c r="B935" s="21"/>
      <c r="C935" s="22"/>
      <c r="D935" s="22"/>
      <c r="E935" s="22"/>
      <c r="F935" s="22"/>
      <c r="G935" s="23"/>
      <c r="H935" s="24"/>
      <c r="I935" s="25"/>
      <c r="N935" s="26"/>
      <c r="O935" s="26"/>
    </row>
    <row r="936" ht="15.75" customHeight="1">
      <c r="A936" s="20"/>
      <c r="B936" s="21"/>
      <c r="C936" s="22"/>
      <c r="D936" s="22"/>
      <c r="E936" s="22"/>
      <c r="F936" s="22"/>
      <c r="G936" s="23"/>
      <c r="H936" s="24"/>
      <c r="I936" s="25"/>
      <c r="N936" s="26"/>
      <c r="O936" s="26"/>
    </row>
    <row r="937" ht="15.75" customHeight="1">
      <c r="A937" s="20"/>
      <c r="B937" s="21"/>
      <c r="C937" s="22"/>
      <c r="D937" s="22"/>
      <c r="E937" s="22"/>
      <c r="F937" s="22"/>
      <c r="G937" s="23"/>
      <c r="H937" s="24"/>
      <c r="I937" s="25"/>
      <c r="N937" s="26"/>
      <c r="O937" s="26"/>
    </row>
    <row r="938" ht="15.75" customHeight="1">
      <c r="A938" s="20"/>
      <c r="B938" s="21"/>
      <c r="C938" s="22"/>
      <c r="D938" s="22"/>
      <c r="E938" s="22"/>
      <c r="F938" s="22"/>
      <c r="G938" s="23"/>
      <c r="H938" s="24"/>
      <c r="I938" s="25"/>
      <c r="N938" s="26"/>
      <c r="O938" s="26"/>
    </row>
    <row r="939" ht="15.75" customHeight="1">
      <c r="A939" s="20"/>
      <c r="B939" s="21"/>
      <c r="C939" s="22"/>
      <c r="D939" s="22"/>
      <c r="E939" s="22"/>
      <c r="F939" s="22"/>
      <c r="G939" s="23"/>
      <c r="H939" s="24"/>
      <c r="I939" s="25"/>
      <c r="N939" s="26"/>
      <c r="O939" s="26"/>
    </row>
    <row r="940" ht="15.75" customHeight="1">
      <c r="A940" s="20"/>
      <c r="B940" s="21"/>
      <c r="C940" s="22"/>
      <c r="D940" s="22"/>
      <c r="E940" s="22"/>
      <c r="F940" s="22"/>
      <c r="G940" s="23"/>
      <c r="H940" s="24"/>
      <c r="I940" s="25"/>
      <c r="N940" s="26"/>
      <c r="O940" s="26"/>
    </row>
    <row r="941" ht="15.75" customHeight="1">
      <c r="A941" s="20"/>
      <c r="B941" s="21"/>
      <c r="C941" s="22"/>
      <c r="D941" s="22"/>
      <c r="E941" s="22"/>
      <c r="F941" s="22"/>
      <c r="G941" s="23"/>
      <c r="H941" s="24"/>
      <c r="I941" s="25"/>
      <c r="N941" s="26"/>
      <c r="O941" s="26"/>
    </row>
    <row r="942" ht="15.75" customHeight="1">
      <c r="A942" s="20"/>
      <c r="B942" s="21"/>
      <c r="C942" s="22"/>
      <c r="D942" s="22"/>
      <c r="E942" s="22"/>
      <c r="F942" s="22"/>
      <c r="G942" s="23"/>
      <c r="H942" s="24"/>
      <c r="I942" s="25"/>
      <c r="N942" s="26"/>
      <c r="O942" s="26"/>
    </row>
    <row r="943" ht="15.75" customHeight="1">
      <c r="A943" s="20"/>
      <c r="B943" s="21"/>
      <c r="C943" s="22"/>
      <c r="D943" s="22"/>
      <c r="E943" s="22"/>
      <c r="F943" s="22"/>
      <c r="G943" s="23"/>
      <c r="H943" s="24"/>
      <c r="I943" s="25"/>
      <c r="N943" s="26"/>
      <c r="O943" s="26"/>
    </row>
    <row r="944" ht="15.75" customHeight="1">
      <c r="A944" s="20"/>
      <c r="B944" s="21"/>
      <c r="C944" s="22"/>
      <c r="D944" s="22"/>
      <c r="E944" s="22"/>
      <c r="F944" s="22"/>
      <c r="G944" s="23"/>
      <c r="H944" s="24"/>
      <c r="I944" s="25"/>
      <c r="N944" s="26"/>
      <c r="O944" s="26"/>
    </row>
    <row r="945" ht="15.75" customHeight="1">
      <c r="A945" s="20"/>
      <c r="B945" s="21"/>
      <c r="C945" s="22"/>
      <c r="D945" s="22"/>
      <c r="E945" s="22"/>
      <c r="F945" s="22"/>
      <c r="G945" s="23"/>
      <c r="H945" s="24"/>
      <c r="I945" s="25"/>
      <c r="N945" s="26"/>
      <c r="O945" s="26"/>
    </row>
    <row r="946" ht="15.75" customHeight="1">
      <c r="A946" s="20"/>
      <c r="B946" s="21"/>
      <c r="C946" s="22"/>
      <c r="D946" s="22"/>
      <c r="E946" s="22"/>
      <c r="F946" s="22"/>
      <c r="G946" s="23"/>
      <c r="H946" s="24"/>
      <c r="I946" s="25"/>
      <c r="N946" s="26"/>
      <c r="O946" s="26"/>
    </row>
    <row r="947" ht="15.75" customHeight="1">
      <c r="A947" s="20"/>
      <c r="B947" s="21"/>
      <c r="C947" s="22"/>
      <c r="D947" s="22"/>
      <c r="E947" s="22"/>
      <c r="F947" s="22"/>
      <c r="G947" s="23"/>
      <c r="H947" s="24"/>
      <c r="I947" s="25"/>
      <c r="N947" s="26"/>
      <c r="O947" s="26"/>
    </row>
    <row r="948" ht="15.75" customHeight="1">
      <c r="A948" s="20"/>
      <c r="B948" s="21"/>
      <c r="C948" s="22"/>
      <c r="D948" s="22"/>
      <c r="E948" s="22"/>
      <c r="F948" s="22"/>
      <c r="G948" s="23"/>
      <c r="H948" s="24"/>
      <c r="I948" s="25"/>
      <c r="N948" s="26"/>
      <c r="O948" s="26"/>
    </row>
    <row r="949" ht="15.75" customHeight="1">
      <c r="A949" s="20"/>
      <c r="B949" s="21"/>
      <c r="C949" s="22"/>
      <c r="D949" s="22"/>
      <c r="E949" s="22"/>
      <c r="F949" s="22"/>
      <c r="G949" s="23"/>
      <c r="H949" s="24"/>
      <c r="I949" s="25"/>
      <c r="N949" s="26"/>
      <c r="O949" s="26"/>
    </row>
    <row r="950" ht="15.75" customHeight="1">
      <c r="A950" s="20"/>
      <c r="B950" s="21"/>
      <c r="C950" s="22"/>
      <c r="D950" s="22"/>
      <c r="E950" s="22"/>
      <c r="F950" s="22"/>
      <c r="G950" s="23"/>
      <c r="H950" s="24"/>
      <c r="I950" s="25"/>
      <c r="N950" s="26"/>
      <c r="O950" s="26"/>
    </row>
    <row r="951" ht="15.75" customHeight="1">
      <c r="A951" s="20"/>
      <c r="B951" s="21"/>
      <c r="C951" s="22"/>
      <c r="D951" s="22"/>
      <c r="E951" s="22"/>
      <c r="F951" s="22"/>
      <c r="G951" s="23"/>
      <c r="H951" s="24"/>
      <c r="I951" s="25"/>
      <c r="N951" s="26"/>
      <c r="O951" s="26"/>
    </row>
    <row r="952" ht="15.75" customHeight="1">
      <c r="A952" s="20"/>
      <c r="B952" s="21"/>
      <c r="C952" s="22"/>
      <c r="D952" s="22"/>
      <c r="E952" s="22"/>
      <c r="F952" s="22"/>
      <c r="G952" s="23"/>
      <c r="H952" s="24"/>
      <c r="I952" s="25"/>
      <c r="N952" s="26"/>
      <c r="O952" s="26"/>
    </row>
    <row r="953" ht="15.75" customHeight="1">
      <c r="A953" s="20"/>
      <c r="B953" s="21"/>
      <c r="C953" s="22"/>
      <c r="D953" s="22"/>
      <c r="E953" s="22"/>
      <c r="F953" s="22"/>
      <c r="G953" s="23"/>
      <c r="H953" s="24"/>
      <c r="I953" s="25"/>
      <c r="N953" s="26"/>
      <c r="O953" s="26"/>
    </row>
    <row r="954" ht="15.75" customHeight="1">
      <c r="A954" s="20"/>
      <c r="B954" s="21"/>
      <c r="C954" s="22"/>
      <c r="D954" s="22"/>
      <c r="E954" s="22"/>
      <c r="F954" s="22"/>
      <c r="G954" s="23"/>
      <c r="H954" s="24"/>
      <c r="I954" s="25"/>
      <c r="N954" s="26"/>
      <c r="O954" s="26"/>
    </row>
    <row r="955" ht="15.75" customHeight="1">
      <c r="A955" s="20"/>
      <c r="B955" s="21"/>
      <c r="C955" s="22"/>
      <c r="D955" s="22"/>
      <c r="E955" s="22"/>
      <c r="F955" s="22"/>
      <c r="G955" s="23"/>
      <c r="H955" s="24"/>
      <c r="I955" s="25"/>
      <c r="N955" s="26"/>
      <c r="O955" s="26"/>
    </row>
    <row r="956" ht="15.75" customHeight="1">
      <c r="A956" s="20"/>
      <c r="B956" s="21"/>
      <c r="C956" s="22"/>
      <c r="D956" s="22"/>
      <c r="E956" s="22"/>
      <c r="F956" s="22"/>
      <c r="G956" s="23"/>
      <c r="H956" s="24"/>
      <c r="I956" s="25"/>
      <c r="N956" s="26"/>
      <c r="O956" s="26"/>
    </row>
    <row r="957" ht="15.75" customHeight="1">
      <c r="A957" s="20"/>
      <c r="B957" s="21"/>
      <c r="C957" s="22"/>
      <c r="D957" s="22"/>
      <c r="E957" s="22"/>
      <c r="F957" s="22"/>
      <c r="G957" s="23"/>
      <c r="H957" s="24"/>
      <c r="I957" s="25"/>
      <c r="N957" s="26"/>
      <c r="O957" s="26"/>
    </row>
    <row r="958" ht="15.75" customHeight="1">
      <c r="A958" s="20"/>
      <c r="B958" s="21"/>
      <c r="C958" s="22"/>
      <c r="D958" s="22"/>
      <c r="E958" s="22"/>
      <c r="F958" s="22"/>
      <c r="G958" s="23"/>
      <c r="H958" s="24"/>
      <c r="I958" s="25"/>
      <c r="N958" s="26"/>
      <c r="O958" s="26"/>
    </row>
    <row r="959" ht="15.75" customHeight="1">
      <c r="A959" s="20"/>
      <c r="B959" s="21"/>
      <c r="C959" s="22"/>
      <c r="D959" s="22"/>
      <c r="E959" s="22"/>
      <c r="F959" s="22"/>
      <c r="G959" s="23"/>
      <c r="H959" s="24"/>
      <c r="I959" s="25"/>
      <c r="N959" s="26"/>
      <c r="O959" s="26"/>
    </row>
    <row r="960" ht="15.75" customHeight="1">
      <c r="A960" s="20"/>
      <c r="B960" s="21"/>
      <c r="C960" s="22"/>
      <c r="D960" s="22"/>
      <c r="E960" s="22"/>
      <c r="F960" s="22"/>
      <c r="G960" s="23"/>
      <c r="H960" s="24"/>
      <c r="I960" s="25"/>
      <c r="N960" s="26"/>
      <c r="O960" s="26"/>
    </row>
    <row r="961" ht="15.75" customHeight="1">
      <c r="A961" s="20"/>
      <c r="B961" s="21"/>
      <c r="C961" s="22"/>
      <c r="D961" s="22"/>
      <c r="E961" s="22"/>
      <c r="F961" s="22"/>
      <c r="G961" s="23"/>
      <c r="H961" s="24"/>
      <c r="I961" s="25"/>
      <c r="N961" s="26"/>
      <c r="O961" s="26"/>
    </row>
    <row r="962" ht="15.75" customHeight="1">
      <c r="A962" s="20"/>
      <c r="B962" s="21"/>
      <c r="C962" s="22"/>
      <c r="D962" s="22"/>
      <c r="E962" s="22"/>
      <c r="F962" s="22"/>
      <c r="G962" s="23"/>
      <c r="H962" s="24"/>
      <c r="I962" s="25"/>
      <c r="N962" s="26"/>
      <c r="O962" s="26"/>
    </row>
    <row r="963" ht="15.75" customHeight="1">
      <c r="A963" s="20"/>
      <c r="B963" s="21"/>
      <c r="C963" s="22"/>
      <c r="D963" s="22"/>
      <c r="E963" s="22"/>
      <c r="F963" s="22"/>
      <c r="G963" s="23"/>
      <c r="H963" s="24"/>
      <c r="I963" s="25"/>
      <c r="N963" s="26"/>
      <c r="O963" s="26"/>
    </row>
    <row r="964" ht="15.75" customHeight="1">
      <c r="A964" s="20"/>
      <c r="B964" s="21"/>
      <c r="C964" s="22"/>
      <c r="D964" s="22"/>
      <c r="E964" s="22"/>
      <c r="F964" s="22"/>
      <c r="G964" s="23"/>
      <c r="H964" s="24"/>
      <c r="I964" s="25"/>
      <c r="N964" s="26"/>
      <c r="O964" s="26"/>
    </row>
    <row r="965" ht="15.75" customHeight="1">
      <c r="A965" s="20"/>
      <c r="B965" s="21"/>
      <c r="C965" s="22"/>
      <c r="D965" s="22"/>
      <c r="E965" s="22"/>
      <c r="F965" s="22"/>
      <c r="G965" s="23"/>
      <c r="H965" s="24"/>
      <c r="I965" s="25"/>
      <c r="N965" s="26"/>
      <c r="O965" s="26"/>
    </row>
    <row r="966" ht="15.75" customHeight="1">
      <c r="A966" s="20"/>
      <c r="B966" s="21"/>
      <c r="C966" s="22"/>
      <c r="D966" s="22"/>
      <c r="E966" s="22"/>
      <c r="F966" s="22"/>
      <c r="G966" s="23"/>
      <c r="H966" s="24"/>
      <c r="I966" s="25"/>
      <c r="N966" s="26"/>
      <c r="O966" s="26"/>
    </row>
    <row r="967" ht="15.75" customHeight="1">
      <c r="A967" s="20"/>
      <c r="B967" s="21"/>
      <c r="C967" s="22"/>
      <c r="D967" s="22"/>
      <c r="E967" s="22"/>
      <c r="F967" s="22"/>
      <c r="G967" s="23"/>
      <c r="H967" s="24"/>
      <c r="I967" s="25"/>
      <c r="N967" s="26"/>
      <c r="O967" s="26"/>
    </row>
    <row r="968" ht="15.75" customHeight="1">
      <c r="A968" s="20"/>
      <c r="B968" s="21"/>
      <c r="C968" s="22"/>
      <c r="D968" s="22"/>
      <c r="E968" s="22"/>
      <c r="F968" s="22"/>
      <c r="G968" s="23"/>
      <c r="H968" s="24"/>
      <c r="I968" s="25"/>
      <c r="N968" s="26"/>
      <c r="O968" s="26"/>
    </row>
    <row r="969" ht="15.75" customHeight="1">
      <c r="A969" s="20"/>
      <c r="B969" s="21"/>
      <c r="C969" s="22"/>
      <c r="D969" s="22"/>
      <c r="E969" s="22"/>
      <c r="F969" s="22"/>
      <c r="G969" s="23"/>
      <c r="H969" s="24"/>
      <c r="I969" s="25"/>
      <c r="N969" s="26"/>
      <c r="O969" s="26"/>
    </row>
    <row r="970" ht="15.75" customHeight="1">
      <c r="A970" s="20"/>
      <c r="B970" s="21"/>
      <c r="C970" s="22"/>
      <c r="D970" s="22"/>
      <c r="E970" s="22"/>
      <c r="F970" s="22"/>
      <c r="G970" s="23"/>
      <c r="H970" s="24"/>
      <c r="I970" s="25"/>
      <c r="N970" s="26"/>
      <c r="O970" s="26"/>
    </row>
    <row r="971" ht="15.75" customHeight="1">
      <c r="A971" s="20"/>
      <c r="B971" s="21"/>
      <c r="C971" s="22"/>
      <c r="D971" s="22"/>
      <c r="E971" s="22"/>
      <c r="F971" s="22"/>
      <c r="G971" s="23"/>
      <c r="H971" s="24"/>
      <c r="I971" s="25"/>
      <c r="N971" s="26"/>
      <c r="O971" s="26"/>
    </row>
    <row r="972" ht="15.75" customHeight="1">
      <c r="A972" s="20"/>
      <c r="B972" s="21"/>
      <c r="C972" s="22"/>
      <c r="D972" s="22"/>
      <c r="E972" s="22"/>
      <c r="F972" s="22"/>
      <c r="G972" s="23"/>
      <c r="H972" s="24"/>
      <c r="I972" s="25"/>
      <c r="N972" s="26"/>
      <c r="O972" s="26"/>
    </row>
    <row r="973" ht="15.75" customHeight="1">
      <c r="A973" s="20"/>
      <c r="B973" s="21"/>
      <c r="C973" s="22"/>
      <c r="D973" s="22"/>
      <c r="E973" s="22"/>
      <c r="F973" s="22"/>
      <c r="G973" s="23"/>
      <c r="H973" s="24"/>
      <c r="I973" s="25"/>
      <c r="N973" s="26"/>
      <c r="O973" s="26"/>
    </row>
    <row r="974" ht="15.75" customHeight="1">
      <c r="A974" s="20"/>
      <c r="B974" s="21"/>
      <c r="C974" s="22"/>
      <c r="D974" s="22"/>
      <c r="E974" s="22"/>
      <c r="F974" s="22"/>
      <c r="G974" s="23"/>
      <c r="H974" s="24"/>
      <c r="I974" s="25"/>
      <c r="N974" s="26"/>
      <c r="O974" s="26"/>
    </row>
    <row r="975" ht="15.75" customHeight="1">
      <c r="A975" s="20"/>
      <c r="B975" s="21"/>
      <c r="C975" s="22"/>
      <c r="D975" s="22"/>
      <c r="E975" s="22"/>
      <c r="F975" s="22"/>
      <c r="G975" s="23"/>
      <c r="H975" s="24"/>
      <c r="I975" s="25"/>
      <c r="N975" s="26"/>
      <c r="O975" s="26"/>
    </row>
    <row r="976" ht="15.75" customHeight="1">
      <c r="A976" s="20"/>
      <c r="B976" s="21"/>
      <c r="C976" s="22"/>
      <c r="D976" s="22"/>
      <c r="E976" s="22"/>
      <c r="F976" s="22"/>
      <c r="G976" s="23"/>
      <c r="H976" s="24"/>
      <c r="I976" s="25"/>
      <c r="N976" s="26"/>
      <c r="O976" s="26"/>
    </row>
    <row r="977" ht="15.75" customHeight="1">
      <c r="A977" s="20"/>
      <c r="B977" s="21"/>
      <c r="C977" s="22"/>
      <c r="D977" s="22"/>
      <c r="E977" s="22"/>
      <c r="F977" s="22"/>
      <c r="G977" s="23"/>
      <c r="H977" s="24"/>
      <c r="I977" s="25"/>
      <c r="N977" s="26"/>
      <c r="O977" s="26"/>
    </row>
    <row r="978" ht="15.75" customHeight="1">
      <c r="A978" s="20"/>
      <c r="B978" s="21"/>
      <c r="C978" s="22"/>
      <c r="D978" s="22"/>
      <c r="E978" s="22"/>
      <c r="F978" s="22"/>
      <c r="G978" s="23"/>
      <c r="H978" s="24"/>
      <c r="I978" s="25"/>
      <c r="N978" s="26"/>
      <c r="O978" s="26"/>
    </row>
    <row r="979" ht="15.75" customHeight="1">
      <c r="A979" s="20"/>
      <c r="B979" s="21"/>
      <c r="C979" s="22"/>
      <c r="D979" s="22"/>
      <c r="E979" s="22"/>
      <c r="F979" s="22"/>
      <c r="G979" s="23"/>
      <c r="H979" s="24"/>
      <c r="I979" s="25"/>
      <c r="N979" s="26"/>
      <c r="O979" s="26"/>
    </row>
    <row r="980" ht="15.75" customHeight="1">
      <c r="A980" s="20"/>
      <c r="B980" s="21"/>
      <c r="C980" s="22"/>
      <c r="D980" s="22"/>
      <c r="E980" s="22"/>
      <c r="F980" s="22"/>
      <c r="G980" s="23"/>
      <c r="H980" s="24"/>
      <c r="I980" s="25"/>
      <c r="N980" s="26"/>
      <c r="O980" s="26"/>
    </row>
    <row r="981" ht="15.75" customHeight="1">
      <c r="A981" s="20"/>
      <c r="B981" s="21"/>
      <c r="C981" s="22"/>
      <c r="D981" s="22"/>
      <c r="E981" s="22"/>
      <c r="F981" s="22"/>
      <c r="G981" s="23"/>
      <c r="H981" s="24"/>
      <c r="I981" s="25"/>
      <c r="N981" s="26"/>
      <c r="O981" s="26"/>
    </row>
    <row r="982" ht="15.75" customHeight="1">
      <c r="A982" s="20"/>
      <c r="B982" s="21"/>
      <c r="C982" s="22"/>
      <c r="D982" s="22"/>
      <c r="E982" s="22"/>
      <c r="F982" s="22"/>
      <c r="G982" s="23"/>
      <c r="H982" s="24"/>
      <c r="I982" s="25"/>
      <c r="N982" s="26"/>
      <c r="O982" s="26"/>
    </row>
    <row r="983" ht="15.75" customHeight="1">
      <c r="A983" s="20"/>
      <c r="B983" s="21"/>
      <c r="C983" s="22"/>
      <c r="D983" s="22"/>
      <c r="E983" s="22"/>
      <c r="F983" s="22"/>
      <c r="G983" s="23"/>
      <c r="H983" s="24"/>
      <c r="I983" s="25"/>
      <c r="N983" s="26"/>
      <c r="O983" s="26"/>
    </row>
    <row r="984" ht="15.75" customHeight="1">
      <c r="A984" s="20"/>
      <c r="B984" s="21"/>
      <c r="C984" s="22"/>
      <c r="D984" s="22"/>
      <c r="E984" s="22"/>
      <c r="F984" s="22"/>
      <c r="G984" s="23"/>
      <c r="H984" s="24"/>
      <c r="I984" s="25"/>
      <c r="N984" s="26"/>
      <c r="O984" s="26"/>
    </row>
    <row r="985" ht="15.75" customHeight="1">
      <c r="A985" s="20"/>
      <c r="B985" s="21"/>
      <c r="C985" s="22"/>
      <c r="D985" s="22"/>
      <c r="E985" s="22"/>
      <c r="F985" s="22"/>
      <c r="G985" s="23"/>
      <c r="H985" s="24"/>
      <c r="I985" s="25"/>
      <c r="N985" s="26"/>
      <c r="O985" s="26"/>
    </row>
    <row r="986" ht="15.75" customHeight="1">
      <c r="A986" s="20"/>
      <c r="B986" s="21"/>
      <c r="C986" s="22"/>
      <c r="D986" s="22"/>
      <c r="E986" s="22"/>
      <c r="F986" s="22"/>
      <c r="G986" s="23"/>
      <c r="H986" s="24"/>
      <c r="I986" s="25"/>
      <c r="N986" s="26"/>
      <c r="O986" s="26"/>
    </row>
    <row r="987" ht="15.75" customHeight="1">
      <c r="A987" s="20"/>
      <c r="B987" s="21"/>
      <c r="C987" s="22"/>
      <c r="D987" s="22"/>
      <c r="E987" s="22"/>
      <c r="F987" s="22"/>
      <c r="G987" s="23"/>
      <c r="H987" s="24"/>
      <c r="I987" s="25"/>
      <c r="N987" s="26"/>
      <c r="O987" s="26"/>
    </row>
    <row r="988" ht="15.75" customHeight="1">
      <c r="A988" s="20"/>
      <c r="B988" s="21"/>
      <c r="C988" s="22"/>
      <c r="D988" s="22"/>
      <c r="E988" s="22"/>
      <c r="F988" s="22"/>
      <c r="G988" s="23"/>
      <c r="H988" s="24"/>
      <c r="I988" s="25"/>
      <c r="N988" s="26"/>
      <c r="O988" s="26"/>
    </row>
    <row r="989" ht="15.75" customHeight="1">
      <c r="A989" s="20"/>
      <c r="B989" s="21"/>
      <c r="C989" s="22"/>
      <c r="D989" s="22"/>
      <c r="E989" s="22"/>
      <c r="F989" s="22"/>
      <c r="G989" s="23"/>
      <c r="H989" s="24"/>
      <c r="I989" s="25"/>
      <c r="N989" s="26"/>
      <c r="O989" s="26"/>
    </row>
    <row r="990" ht="15.75" customHeight="1">
      <c r="A990" s="20"/>
      <c r="B990" s="21"/>
      <c r="C990" s="22"/>
      <c r="D990" s="22"/>
      <c r="E990" s="22"/>
      <c r="F990" s="22"/>
      <c r="G990" s="23"/>
      <c r="H990" s="24"/>
      <c r="I990" s="25"/>
      <c r="N990" s="26"/>
      <c r="O990" s="26"/>
    </row>
    <row r="991" ht="15.75" customHeight="1">
      <c r="A991" s="20"/>
      <c r="B991" s="21"/>
      <c r="C991" s="22"/>
      <c r="D991" s="22"/>
      <c r="E991" s="22"/>
      <c r="F991" s="22"/>
      <c r="G991" s="23"/>
      <c r="H991" s="24"/>
      <c r="I991" s="25"/>
      <c r="N991" s="26"/>
      <c r="O991" s="26"/>
    </row>
    <row r="992" ht="15.75" customHeight="1">
      <c r="A992" s="20"/>
      <c r="B992" s="21"/>
      <c r="C992" s="22"/>
      <c r="D992" s="22"/>
      <c r="E992" s="22"/>
      <c r="F992" s="22"/>
      <c r="G992" s="23"/>
      <c r="H992" s="24"/>
      <c r="I992" s="25"/>
      <c r="N992" s="26"/>
      <c r="O992" s="26"/>
    </row>
    <row r="993" ht="15.75" customHeight="1">
      <c r="A993" s="20"/>
      <c r="B993" s="21"/>
      <c r="C993" s="22"/>
      <c r="D993" s="22"/>
      <c r="E993" s="22"/>
      <c r="F993" s="22"/>
      <c r="G993" s="23"/>
      <c r="H993" s="24"/>
      <c r="I993" s="25"/>
      <c r="N993" s="26"/>
      <c r="O993" s="26"/>
    </row>
    <row r="994" ht="15.75" customHeight="1">
      <c r="A994" s="20"/>
      <c r="B994" s="21"/>
      <c r="C994" s="22"/>
      <c r="D994" s="22"/>
      <c r="E994" s="22"/>
      <c r="F994" s="22"/>
      <c r="G994" s="23"/>
      <c r="H994" s="24"/>
      <c r="I994" s="25"/>
      <c r="N994" s="26"/>
      <c r="O994" s="26"/>
    </row>
    <row r="995" ht="15.75" customHeight="1">
      <c r="A995" s="20"/>
      <c r="B995" s="21"/>
      <c r="C995" s="22"/>
      <c r="D995" s="22"/>
      <c r="E995" s="22"/>
      <c r="F995" s="22"/>
      <c r="G995" s="23"/>
      <c r="H995" s="24"/>
      <c r="I995" s="25"/>
      <c r="N995" s="26"/>
      <c r="O995" s="26"/>
    </row>
    <row r="996" ht="15.75" customHeight="1">
      <c r="A996" s="20"/>
      <c r="B996" s="21"/>
      <c r="C996" s="22"/>
      <c r="D996" s="22"/>
      <c r="E996" s="22"/>
      <c r="F996" s="22"/>
      <c r="G996" s="23"/>
      <c r="H996" s="24"/>
      <c r="I996" s="25"/>
      <c r="N996" s="26"/>
      <c r="O996" s="26"/>
    </row>
    <row r="997" ht="15.75" customHeight="1">
      <c r="A997" s="20"/>
      <c r="B997" s="21"/>
      <c r="C997" s="22"/>
      <c r="D997" s="22"/>
      <c r="E997" s="22"/>
      <c r="F997" s="22"/>
      <c r="G997" s="23"/>
      <c r="H997" s="24"/>
      <c r="I997" s="25"/>
      <c r="N997" s="26"/>
      <c r="O997" s="26"/>
    </row>
    <row r="998" ht="15.75" customHeight="1">
      <c r="A998" s="20"/>
      <c r="B998" s="21"/>
      <c r="C998" s="22"/>
      <c r="D998" s="22"/>
      <c r="E998" s="22"/>
      <c r="F998" s="22"/>
      <c r="G998" s="23"/>
      <c r="H998" s="24"/>
      <c r="I998" s="25"/>
      <c r="N998" s="26"/>
      <c r="O998" s="26"/>
    </row>
    <row r="999" ht="15.75" customHeight="1">
      <c r="A999" s="20"/>
      <c r="B999" s="21"/>
      <c r="C999" s="22"/>
      <c r="D999" s="22"/>
      <c r="E999" s="22"/>
      <c r="F999" s="22"/>
      <c r="G999" s="23"/>
      <c r="H999" s="24"/>
      <c r="I999" s="25"/>
      <c r="N999" s="26"/>
      <c r="O999" s="26"/>
    </row>
    <row r="1000" ht="15.75" customHeight="1">
      <c r="A1000" s="20"/>
      <c r="B1000" s="21"/>
      <c r="C1000" s="22"/>
      <c r="D1000" s="22"/>
      <c r="E1000" s="22"/>
      <c r="F1000" s="22"/>
      <c r="G1000" s="23"/>
      <c r="H1000" s="24"/>
      <c r="I1000" s="25"/>
      <c r="N1000" s="26"/>
      <c r="O1000" s="26"/>
    </row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B2:B201 G2:I201 N2:O201">
      <formula1>AND(ISNUMBER(B2),(NOT(OR(NOT(ISERROR(DATEVALUE(B2))), AND(ISNUMBER(B2), LEFT(CELL("format", B2))="D")))))</formula1>
    </dataValidation>
    <dataValidation allowBlank="1" showDropDown="1" sqref="C2:F201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8" t="s">
        <v>15</v>
      </c>
      <c r="Q1" s="8" t="s">
        <v>16</v>
      </c>
    </row>
    <row r="2" ht="22.5" customHeight="1">
      <c r="A2" s="9">
        <v>45748.0</v>
      </c>
      <c r="B2" s="10">
        <v>8410.0</v>
      </c>
      <c r="C2" s="11" t="s">
        <v>17</v>
      </c>
      <c r="D2" s="11" t="s">
        <v>18</v>
      </c>
      <c r="E2" s="11" t="s">
        <v>19</v>
      </c>
      <c r="F2" s="11" t="s">
        <v>20</v>
      </c>
      <c r="G2" s="12">
        <v>9.0</v>
      </c>
      <c r="H2" s="13">
        <v>2134.06</v>
      </c>
      <c r="I2" s="14">
        <f t="shared" ref="I2:I74" si="1">G2*H2</f>
        <v>19206.54</v>
      </c>
      <c r="J2" s="15">
        <f t="shared" ref="J2:J74" si="2">YEAR(A2)</f>
        <v>2025</v>
      </c>
      <c r="K2" s="15">
        <f t="shared" ref="K2:K74" si="3">MONTH(A2)</f>
        <v>4</v>
      </c>
      <c r="L2" s="15">
        <f t="shared" ref="L2:L74" si="4">DAY(A2)</f>
        <v>1</v>
      </c>
      <c r="M2" s="15">
        <f t="shared" ref="M2:M74" si="5">WEEKDAY(A2,1)</f>
        <v>3</v>
      </c>
      <c r="N2" s="16">
        <f t="shared" ref="N2:N74" si="6">0.4*$I2</f>
        <v>7682.616</v>
      </c>
      <c r="O2" s="16">
        <f t="shared" ref="O2:O74" si="7">0.1*$I2</f>
        <v>1920.654</v>
      </c>
      <c r="P2" s="17" t="str">
        <f t="shared" ref="P2:P74" si="8">CONCATENATE(J2,"_",K2)</f>
        <v>2025_4</v>
      </c>
      <c r="Q2" s="17" t="str">
        <f t="shared" ref="Q2:Q74" si="9">IF(I2&gt;=10000,"VIP","Não VIP")</f>
        <v>VIP</v>
      </c>
    </row>
    <row r="3" ht="22.5" customHeight="1">
      <c r="A3" s="9">
        <v>45809.0</v>
      </c>
      <c r="B3" s="10">
        <v>4924.0</v>
      </c>
      <c r="C3" s="11" t="s">
        <v>34</v>
      </c>
      <c r="D3" s="11" t="s">
        <v>22</v>
      </c>
      <c r="E3" s="11" t="s">
        <v>23</v>
      </c>
      <c r="F3" s="11" t="s">
        <v>35</v>
      </c>
      <c r="G3" s="12">
        <v>4.0</v>
      </c>
      <c r="H3" s="13">
        <v>2664.66</v>
      </c>
      <c r="I3" s="14">
        <f t="shared" si="1"/>
        <v>10658.64</v>
      </c>
      <c r="J3" s="15">
        <f t="shared" si="2"/>
        <v>2025</v>
      </c>
      <c r="K3" s="15">
        <f t="shared" si="3"/>
        <v>6</v>
      </c>
      <c r="L3" s="15">
        <f t="shared" si="4"/>
        <v>1</v>
      </c>
      <c r="M3" s="15">
        <f t="shared" si="5"/>
        <v>1</v>
      </c>
      <c r="N3" s="16">
        <f t="shared" si="6"/>
        <v>4263.456</v>
      </c>
      <c r="O3" s="16">
        <f t="shared" si="7"/>
        <v>1065.864</v>
      </c>
      <c r="P3" s="17" t="str">
        <f t="shared" si="8"/>
        <v>2025_6</v>
      </c>
      <c r="Q3" s="17" t="str">
        <f t="shared" si="9"/>
        <v>VIP</v>
      </c>
      <c r="S3" s="27">
        <f>STDEVP(Tabela_2[Total da Venda])</f>
        <v>4481.0297</v>
      </c>
    </row>
    <row r="4" ht="22.5" customHeight="1">
      <c r="A4" s="9">
        <v>45690.0</v>
      </c>
      <c r="B4" s="10">
        <v>7359.0</v>
      </c>
      <c r="C4" s="11" t="s">
        <v>36</v>
      </c>
      <c r="D4" s="11" t="s">
        <v>37</v>
      </c>
      <c r="E4" s="11" t="s">
        <v>38</v>
      </c>
      <c r="F4" s="11" t="s">
        <v>39</v>
      </c>
      <c r="G4" s="12">
        <v>8.0</v>
      </c>
      <c r="H4" s="13">
        <v>1751.46</v>
      </c>
      <c r="I4" s="14">
        <f t="shared" si="1"/>
        <v>14011.68</v>
      </c>
      <c r="J4" s="15">
        <f t="shared" si="2"/>
        <v>2025</v>
      </c>
      <c r="K4" s="15">
        <f t="shared" si="3"/>
        <v>2</v>
      </c>
      <c r="L4" s="15">
        <f t="shared" si="4"/>
        <v>2</v>
      </c>
      <c r="M4" s="15">
        <f t="shared" si="5"/>
        <v>1</v>
      </c>
      <c r="N4" s="16">
        <f t="shared" si="6"/>
        <v>5604.672</v>
      </c>
      <c r="O4" s="16">
        <f t="shared" si="7"/>
        <v>1401.168</v>
      </c>
      <c r="P4" s="17" t="str">
        <f t="shared" si="8"/>
        <v>2025_2</v>
      </c>
      <c r="Q4" s="17" t="str">
        <f t="shared" si="9"/>
        <v>VIP</v>
      </c>
    </row>
    <row r="5" ht="22.5" customHeight="1">
      <c r="A5" s="9">
        <v>45718.0</v>
      </c>
      <c r="B5" s="10">
        <v>9202.0</v>
      </c>
      <c r="C5" s="11" t="s">
        <v>45</v>
      </c>
      <c r="D5" s="11" t="s">
        <v>37</v>
      </c>
      <c r="E5" s="11" t="s">
        <v>19</v>
      </c>
      <c r="F5" s="11" t="s">
        <v>46</v>
      </c>
      <c r="G5" s="12">
        <v>5.0</v>
      </c>
      <c r="H5" s="13">
        <v>2533.86</v>
      </c>
      <c r="I5" s="14">
        <f t="shared" si="1"/>
        <v>12669.3</v>
      </c>
      <c r="J5" s="15">
        <f t="shared" si="2"/>
        <v>2025</v>
      </c>
      <c r="K5" s="15">
        <f t="shared" si="3"/>
        <v>3</v>
      </c>
      <c r="L5" s="15">
        <f t="shared" si="4"/>
        <v>2</v>
      </c>
      <c r="M5" s="15">
        <f t="shared" si="5"/>
        <v>1</v>
      </c>
      <c r="N5" s="16">
        <f t="shared" si="6"/>
        <v>5067.72</v>
      </c>
      <c r="O5" s="16">
        <f t="shared" si="7"/>
        <v>1266.93</v>
      </c>
      <c r="P5" s="17" t="str">
        <f t="shared" si="8"/>
        <v>2025_3</v>
      </c>
      <c r="Q5" s="17" t="str">
        <f t="shared" si="9"/>
        <v>VIP</v>
      </c>
    </row>
    <row r="6" ht="22.5" customHeight="1">
      <c r="A6" s="9">
        <v>45749.0</v>
      </c>
      <c r="B6" s="10">
        <v>3138.0</v>
      </c>
      <c r="C6" s="11" t="s">
        <v>47</v>
      </c>
      <c r="D6" s="11" t="s">
        <v>31</v>
      </c>
      <c r="E6" s="11" t="s">
        <v>28</v>
      </c>
      <c r="F6" s="11" t="s">
        <v>48</v>
      </c>
      <c r="G6" s="12">
        <v>5.0</v>
      </c>
      <c r="H6" s="13">
        <v>2043.33</v>
      </c>
      <c r="I6" s="14">
        <f t="shared" si="1"/>
        <v>10216.65</v>
      </c>
      <c r="J6" s="15">
        <f t="shared" si="2"/>
        <v>2025</v>
      </c>
      <c r="K6" s="15">
        <f t="shared" si="3"/>
        <v>4</v>
      </c>
      <c r="L6" s="15">
        <f t="shared" si="4"/>
        <v>2</v>
      </c>
      <c r="M6" s="15">
        <f t="shared" si="5"/>
        <v>4</v>
      </c>
      <c r="N6" s="16">
        <f t="shared" si="6"/>
        <v>4086.66</v>
      </c>
      <c r="O6" s="16">
        <f t="shared" si="7"/>
        <v>1021.665</v>
      </c>
      <c r="P6" s="17" t="str">
        <f t="shared" si="8"/>
        <v>2025_4</v>
      </c>
      <c r="Q6" s="17" t="str">
        <f t="shared" si="9"/>
        <v>VIP</v>
      </c>
    </row>
    <row r="7" ht="22.5" customHeight="1">
      <c r="A7" s="9">
        <v>45810.0</v>
      </c>
      <c r="B7" s="10">
        <v>2994.0</v>
      </c>
      <c r="C7" s="11" t="s">
        <v>51</v>
      </c>
      <c r="D7" s="11" t="s">
        <v>27</v>
      </c>
      <c r="E7" s="11" t="s">
        <v>23</v>
      </c>
      <c r="F7" s="11" t="s">
        <v>52</v>
      </c>
      <c r="G7" s="12">
        <v>8.0</v>
      </c>
      <c r="H7" s="13">
        <v>2263.35</v>
      </c>
      <c r="I7" s="14">
        <f t="shared" si="1"/>
        <v>18106.8</v>
      </c>
      <c r="J7" s="15">
        <f t="shared" si="2"/>
        <v>2025</v>
      </c>
      <c r="K7" s="15">
        <f t="shared" si="3"/>
        <v>6</v>
      </c>
      <c r="L7" s="15">
        <f t="shared" si="4"/>
        <v>2</v>
      </c>
      <c r="M7" s="15">
        <f t="shared" si="5"/>
        <v>2</v>
      </c>
      <c r="N7" s="16">
        <f t="shared" si="6"/>
        <v>7242.72</v>
      </c>
      <c r="O7" s="16">
        <f t="shared" si="7"/>
        <v>1810.68</v>
      </c>
      <c r="P7" s="17" t="str">
        <f t="shared" si="8"/>
        <v>2025_6</v>
      </c>
      <c r="Q7" s="17" t="str">
        <f t="shared" si="9"/>
        <v>VIP</v>
      </c>
    </row>
    <row r="8" ht="22.5" customHeight="1">
      <c r="A8" s="9">
        <v>45660.0</v>
      </c>
      <c r="B8" s="10">
        <v>8825.0</v>
      </c>
      <c r="C8" s="11" t="s">
        <v>53</v>
      </c>
      <c r="D8" s="11" t="s">
        <v>18</v>
      </c>
      <c r="E8" s="11" t="s">
        <v>38</v>
      </c>
      <c r="F8" s="11" t="s">
        <v>54</v>
      </c>
      <c r="G8" s="12">
        <v>7.0</v>
      </c>
      <c r="H8" s="13">
        <v>1498.73</v>
      </c>
      <c r="I8" s="14">
        <f t="shared" si="1"/>
        <v>10491.11</v>
      </c>
      <c r="J8" s="15">
        <f t="shared" si="2"/>
        <v>2025</v>
      </c>
      <c r="K8" s="15">
        <f t="shared" si="3"/>
        <v>1</v>
      </c>
      <c r="L8" s="15">
        <f t="shared" si="4"/>
        <v>3</v>
      </c>
      <c r="M8" s="15">
        <f t="shared" si="5"/>
        <v>6</v>
      </c>
      <c r="N8" s="16">
        <f t="shared" si="6"/>
        <v>4196.444</v>
      </c>
      <c r="O8" s="16">
        <f t="shared" si="7"/>
        <v>1049.111</v>
      </c>
      <c r="P8" s="17" t="str">
        <f t="shared" si="8"/>
        <v>2025_1</v>
      </c>
      <c r="Q8" s="17" t="str">
        <f t="shared" si="9"/>
        <v>VIP</v>
      </c>
    </row>
    <row r="9" ht="22.5" customHeight="1">
      <c r="A9" s="9">
        <v>45750.0</v>
      </c>
      <c r="B9" s="10">
        <v>2731.0</v>
      </c>
      <c r="C9" s="11" t="s">
        <v>57</v>
      </c>
      <c r="D9" s="11" t="s">
        <v>43</v>
      </c>
      <c r="E9" s="11" t="s">
        <v>19</v>
      </c>
      <c r="F9" s="11" t="s">
        <v>58</v>
      </c>
      <c r="G9" s="12">
        <v>8.0</v>
      </c>
      <c r="H9" s="13">
        <v>1717.45</v>
      </c>
      <c r="I9" s="14">
        <f t="shared" si="1"/>
        <v>13739.6</v>
      </c>
      <c r="J9" s="15">
        <f t="shared" si="2"/>
        <v>2025</v>
      </c>
      <c r="K9" s="15">
        <f t="shared" si="3"/>
        <v>4</v>
      </c>
      <c r="L9" s="15">
        <f t="shared" si="4"/>
        <v>3</v>
      </c>
      <c r="M9" s="15">
        <f t="shared" si="5"/>
        <v>5</v>
      </c>
      <c r="N9" s="16">
        <f t="shared" si="6"/>
        <v>5495.84</v>
      </c>
      <c r="O9" s="16">
        <f t="shared" si="7"/>
        <v>1373.96</v>
      </c>
      <c r="P9" s="17" t="str">
        <f t="shared" si="8"/>
        <v>2025_4</v>
      </c>
      <c r="Q9" s="17" t="str">
        <f t="shared" si="9"/>
        <v>VIP</v>
      </c>
    </row>
    <row r="10" ht="22.5" customHeight="1">
      <c r="A10" s="9">
        <v>45661.0</v>
      </c>
      <c r="B10" s="10">
        <v>9583.0</v>
      </c>
      <c r="C10" s="11" t="s">
        <v>61</v>
      </c>
      <c r="D10" s="11" t="s">
        <v>31</v>
      </c>
      <c r="E10" s="11" t="s">
        <v>38</v>
      </c>
      <c r="F10" s="11" t="s">
        <v>60</v>
      </c>
      <c r="G10" s="12">
        <v>10.0</v>
      </c>
      <c r="H10" s="13">
        <v>1492.2</v>
      </c>
      <c r="I10" s="14">
        <f t="shared" si="1"/>
        <v>14922</v>
      </c>
      <c r="J10" s="15">
        <f t="shared" si="2"/>
        <v>2025</v>
      </c>
      <c r="K10" s="15">
        <f t="shared" si="3"/>
        <v>1</v>
      </c>
      <c r="L10" s="15">
        <f t="shared" si="4"/>
        <v>4</v>
      </c>
      <c r="M10" s="15">
        <f t="shared" si="5"/>
        <v>7</v>
      </c>
      <c r="N10" s="16">
        <f t="shared" si="6"/>
        <v>5968.8</v>
      </c>
      <c r="O10" s="16">
        <f t="shared" si="7"/>
        <v>1492.2</v>
      </c>
      <c r="P10" s="17" t="str">
        <f t="shared" si="8"/>
        <v>2025_1</v>
      </c>
      <c r="Q10" s="17" t="str">
        <f t="shared" si="9"/>
        <v>VIP</v>
      </c>
    </row>
    <row r="11" ht="22.5" customHeight="1">
      <c r="A11" s="9">
        <v>45692.0</v>
      </c>
      <c r="B11" s="10">
        <v>8984.0</v>
      </c>
      <c r="C11" s="11" t="s">
        <v>63</v>
      </c>
      <c r="D11" s="11" t="s">
        <v>18</v>
      </c>
      <c r="E11" s="11" t="s">
        <v>19</v>
      </c>
      <c r="F11" s="11" t="s">
        <v>20</v>
      </c>
      <c r="G11" s="12">
        <v>9.0</v>
      </c>
      <c r="H11" s="13">
        <v>2022.72</v>
      </c>
      <c r="I11" s="14">
        <f t="shared" si="1"/>
        <v>18204.48</v>
      </c>
      <c r="J11" s="15">
        <f t="shared" si="2"/>
        <v>2025</v>
      </c>
      <c r="K11" s="15">
        <f t="shared" si="3"/>
        <v>2</v>
      </c>
      <c r="L11" s="15">
        <f t="shared" si="4"/>
        <v>4</v>
      </c>
      <c r="M11" s="15">
        <f t="shared" si="5"/>
        <v>3</v>
      </c>
      <c r="N11" s="16">
        <f t="shared" si="6"/>
        <v>7281.792</v>
      </c>
      <c r="O11" s="16">
        <f t="shared" si="7"/>
        <v>1820.448</v>
      </c>
      <c r="P11" s="17" t="str">
        <f t="shared" si="8"/>
        <v>2025_2</v>
      </c>
      <c r="Q11" s="17" t="str">
        <f t="shared" si="9"/>
        <v>VIP</v>
      </c>
    </row>
    <row r="12" ht="22.5" customHeight="1">
      <c r="A12" s="9">
        <v>45720.0</v>
      </c>
      <c r="B12" s="10">
        <v>5978.0</v>
      </c>
      <c r="C12" s="11" t="s">
        <v>64</v>
      </c>
      <c r="D12" s="11" t="s">
        <v>65</v>
      </c>
      <c r="E12" s="11" t="s">
        <v>38</v>
      </c>
      <c r="F12" s="11" t="s">
        <v>66</v>
      </c>
      <c r="G12" s="12">
        <v>10.0</v>
      </c>
      <c r="H12" s="13">
        <v>1674.7</v>
      </c>
      <c r="I12" s="14">
        <f t="shared" si="1"/>
        <v>16747</v>
      </c>
      <c r="J12" s="15">
        <f t="shared" si="2"/>
        <v>2025</v>
      </c>
      <c r="K12" s="15">
        <f t="shared" si="3"/>
        <v>3</v>
      </c>
      <c r="L12" s="15">
        <f t="shared" si="4"/>
        <v>4</v>
      </c>
      <c r="M12" s="15">
        <f t="shared" si="5"/>
        <v>3</v>
      </c>
      <c r="N12" s="16">
        <f t="shared" si="6"/>
        <v>6698.8</v>
      </c>
      <c r="O12" s="16">
        <f t="shared" si="7"/>
        <v>1674.7</v>
      </c>
      <c r="P12" s="17" t="str">
        <f t="shared" si="8"/>
        <v>2025_3</v>
      </c>
      <c r="Q12" s="17" t="str">
        <f t="shared" si="9"/>
        <v>VIP</v>
      </c>
    </row>
    <row r="13" ht="22.5" customHeight="1">
      <c r="A13" s="9">
        <v>45751.0</v>
      </c>
      <c r="B13" s="10">
        <v>6700.0</v>
      </c>
      <c r="C13" s="11" t="s">
        <v>67</v>
      </c>
      <c r="D13" s="11" t="s">
        <v>43</v>
      </c>
      <c r="E13" s="11" t="s">
        <v>38</v>
      </c>
      <c r="F13" s="11" t="s">
        <v>68</v>
      </c>
      <c r="G13" s="12">
        <v>7.0</v>
      </c>
      <c r="H13" s="13">
        <v>2205.46</v>
      </c>
      <c r="I13" s="14">
        <f t="shared" si="1"/>
        <v>15438.22</v>
      </c>
      <c r="J13" s="15">
        <f t="shared" si="2"/>
        <v>2025</v>
      </c>
      <c r="K13" s="15">
        <f t="shared" si="3"/>
        <v>4</v>
      </c>
      <c r="L13" s="15">
        <f t="shared" si="4"/>
        <v>4</v>
      </c>
      <c r="M13" s="15">
        <f t="shared" si="5"/>
        <v>6</v>
      </c>
      <c r="N13" s="16">
        <f t="shared" si="6"/>
        <v>6175.288</v>
      </c>
      <c r="O13" s="16">
        <f t="shared" si="7"/>
        <v>1543.822</v>
      </c>
      <c r="P13" s="17" t="str">
        <f t="shared" si="8"/>
        <v>2025_4</v>
      </c>
      <c r="Q13" s="17" t="str">
        <f t="shared" si="9"/>
        <v>VIP</v>
      </c>
    </row>
    <row r="14" ht="22.5" customHeight="1">
      <c r="A14" s="9">
        <v>45751.0</v>
      </c>
      <c r="B14" s="10">
        <v>4907.0</v>
      </c>
      <c r="C14" s="11" t="s">
        <v>69</v>
      </c>
      <c r="D14" s="11" t="s">
        <v>27</v>
      </c>
      <c r="E14" s="11" t="s">
        <v>38</v>
      </c>
      <c r="F14" s="11" t="s">
        <v>66</v>
      </c>
      <c r="G14" s="12">
        <v>10.0</v>
      </c>
      <c r="H14" s="13">
        <v>2262.74</v>
      </c>
      <c r="I14" s="14">
        <f t="shared" si="1"/>
        <v>22627.4</v>
      </c>
      <c r="J14" s="15">
        <f t="shared" si="2"/>
        <v>2025</v>
      </c>
      <c r="K14" s="15">
        <f t="shared" si="3"/>
        <v>4</v>
      </c>
      <c r="L14" s="15">
        <f t="shared" si="4"/>
        <v>4</v>
      </c>
      <c r="M14" s="15">
        <f t="shared" si="5"/>
        <v>6</v>
      </c>
      <c r="N14" s="16">
        <f t="shared" si="6"/>
        <v>9050.96</v>
      </c>
      <c r="O14" s="16">
        <f t="shared" si="7"/>
        <v>2262.74</v>
      </c>
      <c r="P14" s="17" t="str">
        <f t="shared" si="8"/>
        <v>2025_4</v>
      </c>
      <c r="Q14" s="17" t="str">
        <f t="shared" si="9"/>
        <v>VIP</v>
      </c>
    </row>
    <row r="15" ht="22.5" customHeight="1">
      <c r="A15" s="9">
        <v>45693.0</v>
      </c>
      <c r="B15" s="10">
        <v>5553.0</v>
      </c>
      <c r="C15" s="11" t="s">
        <v>72</v>
      </c>
      <c r="D15" s="11" t="s">
        <v>27</v>
      </c>
      <c r="E15" s="11" t="s">
        <v>19</v>
      </c>
      <c r="F15" s="11" t="s">
        <v>46</v>
      </c>
      <c r="G15" s="12">
        <v>7.0</v>
      </c>
      <c r="H15" s="13">
        <v>1653.32</v>
      </c>
      <c r="I15" s="14">
        <f t="shared" si="1"/>
        <v>11573.24</v>
      </c>
      <c r="J15" s="15">
        <f t="shared" si="2"/>
        <v>2025</v>
      </c>
      <c r="K15" s="15">
        <f t="shared" si="3"/>
        <v>2</v>
      </c>
      <c r="L15" s="15">
        <f t="shared" si="4"/>
        <v>5</v>
      </c>
      <c r="M15" s="15">
        <f t="shared" si="5"/>
        <v>4</v>
      </c>
      <c r="N15" s="16">
        <f t="shared" si="6"/>
        <v>4629.296</v>
      </c>
      <c r="O15" s="16">
        <f t="shared" si="7"/>
        <v>1157.324</v>
      </c>
      <c r="P15" s="17" t="str">
        <f t="shared" si="8"/>
        <v>2025_2</v>
      </c>
      <c r="Q15" s="17" t="str">
        <f t="shared" si="9"/>
        <v>VIP</v>
      </c>
    </row>
    <row r="16" ht="22.5" customHeight="1">
      <c r="A16" s="9">
        <v>45752.0</v>
      </c>
      <c r="B16" s="10">
        <v>2219.0</v>
      </c>
      <c r="C16" s="11" t="s">
        <v>74</v>
      </c>
      <c r="D16" s="11" t="s">
        <v>31</v>
      </c>
      <c r="E16" s="11" t="s">
        <v>28</v>
      </c>
      <c r="F16" s="11" t="s">
        <v>50</v>
      </c>
      <c r="G16" s="12">
        <v>5.0</v>
      </c>
      <c r="H16" s="13">
        <v>2426.59</v>
      </c>
      <c r="I16" s="14">
        <f t="shared" si="1"/>
        <v>12132.95</v>
      </c>
      <c r="J16" s="15">
        <f t="shared" si="2"/>
        <v>2025</v>
      </c>
      <c r="K16" s="15">
        <f t="shared" si="3"/>
        <v>4</v>
      </c>
      <c r="L16" s="15">
        <f t="shared" si="4"/>
        <v>5</v>
      </c>
      <c r="M16" s="15">
        <f t="shared" si="5"/>
        <v>7</v>
      </c>
      <c r="N16" s="16">
        <f t="shared" si="6"/>
        <v>4853.18</v>
      </c>
      <c r="O16" s="16">
        <f t="shared" si="7"/>
        <v>1213.295</v>
      </c>
      <c r="P16" s="17" t="str">
        <f t="shared" si="8"/>
        <v>2025_4</v>
      </c>
      <c r="Q16" s="17" t="str">
        <f t="shared" si="9"/>
        <v>VIP</v>
      </c>
    </row>
    <row r="17" ht="22.5" customHeight="1">
      <c r="A17" s="9">
        <v>45782.0</v>
      </c>
      <c r="B17" s="10">
        <v>4010.0</v>
      </c>
      <c r="C17" s="11" t="s">
        <v>77</v>
      </c>
      <c r="D17" s="11" t="s">
        <v>65</v>
      </c>
      <c r="E17" s="11" t="s">
        <v>32</v>
      </c>
      <c r="F17" s="11" t="s">
        <v>78</v>
      </c>
      <c r="G17" s="12">
        <v>8.0</v>
      </c>
      <c r="H17" s="13">
        <v>1872.52</v>
      </c>
      <c r="I17" s="14">
        <f t="shared" si="1"/>
        <v>14980.16</v>
      </c>
      <c r="J17" s="15">
        <f t="shared" si="2"/>
        <v>2025</v>
      </c>
      <c r="K17" s="15">
        <f t="shared" si="3"/>
        <v>5</v>
      </c>
      <c r="L17" s="15">
        <f t="shared" si="4"/>
        <v>5</v>
      </c>
      <c r="M17" s="15">
        <f t="shared" si="5"/>
        <v>2</v>
      </c>
      <c r="N17" s="16">
        <f t="shared" si="6"/>
        <v>5992.064</v>
      </c>
      <c r="O17" s="16">
        <f t="shared" si="7"/>
        <v>1498.016</v>
      </c>
      <c r="P17" s="17" t="str">
        <f t="shared" si="8"/>
        <v>2025_5</v>
      </c>
      <c r="Q17" s="17" t="str">
        <f t="shared" si="9"/>
        <v>VIP</v>
      </c>
    </row>
    <row r="18" ht="22.5" customHeight="1">
      <c r="A18" s="9">
        <v>45783.0</v>
      </c>
      <c r="B18" s="10">
        <v>4392.0</v>
      </c>
      <c r="C18" s="11" t="s">
        <v>83</v>
      </c>
      <c r="D18" s="11" t="s">
        <v>43</v>
      </c>
      <c r="E18" s="11" t="s">
        <v>32</v>
      </c>
      <c r="F18" s="11" t="s">
        <v>56</v>
      </c>
      <c r="G18" s="12">
        <v>10.0</v>
      </c>
      <c r="H18" s="13">
        <v>2302.59</v>
      </c>
      <c r="I18" s="14">
        <f t="shared" si="1"/>
        <v>23025.9</v>
      </c>
      <c r="J18" s="15">
        <f t="shared" si="2"/>
        <v>2025</v>
      </c>
      <c r="K18" s="15">
        <f t="shared" si="3"/>
        <v>5</v>
      </c>
      <c r="L18" s="15">
        <f t="shared" si="4"/>
        <v>6</v>
      </c>
      <c r="M18" s="15">
        <f t="shared" si="5"/>
        <v>3</v>
      </c>
      <c r="N18" s="16">
        <f t="shared" si="6"/>
        <v>9210.36</v>
      </c>
      <c r="O18" s="16">
        <f t="shared" si="7"/>
        <v>2302.59</v>
      </c>
      <c r="P18" s="17" t="str">
        <f t="shared" si="8"/>
        <v>2025_5</v>
      </c>
      <c r="Q18" s="17" t="str">
        <f t="shared" si="9"/>
        <v>VIP</v>
      </c>
    </row>
    <row r="19" ht="22.5" customHeight="1">
      <c r="A19" s="9">
        <v>45723.0</v>
      </c>
      <c r="B19" s="10">
        <v>8290.0</v>
      </c>
      <c r="C19" s="11" t="s">
        <v>87</v>
      </c>
      <c r="D19" s="11" t="s">
        <v>43</v>
      </c>
      <c r="E19" s="11" t="s">
        <v>32</v>
      </c>
      <c r="F19" s="11" t="s">
        <v>78</v>
      </c>
      <c r="G19" s="12">
        <v>9.0</v>
      </c>
      <c r="H19" s="13">
        <v>2962.51</v>
      </c>
      <c r="I19" s="14">
        <f t="shared" si="1"/>
        <v>26662.59</v>
      </c>
      <c r="J19" s="15">
        <f t="shared" si="2"/>
        <v>2025</v>
      </c>
      <c r="K19" s="15">
        <f t="shared" si="3"/>
        <v>3</v>
      </c>
      <c r="L19" s="15">
        <f t="shared" si="4"/>
        <v>7</v>
      </c>
      <c r="M19" s="15">
        <f t="shared" si="5"/>
        <v>6</v>
      </c>
      <c r="N19" s="16">
        <f t="shared" si="6"/>
        <v>10665.036</v>
      </c>
      <c r="O19" s="16">
        <f t="shared" si="7"/>
        <v>2666.259</v>
      </c>
      <c r="P19" s="17" t="str">
        <f t="shared" si="8"/>
        <v>2025_3</v>
      </c>
      <c r="Q19" s="17" t="str">
        <f t="shared" si="9"/>
        <v>VIP</v>
      </c>
    </row>
    <row r="20" ht="22.5" customHeight="1">
      <c r="A20" s="9">
        <v>45723.0</v>
      </c>
      <c r="B20" s="10">
        <v>3003.0</v>
      </c>
      <c r="C20" s="11" t="s">
        <v>88</v>
      </c>
      <c r="D20" s="11" t="s">
        <v>27</v>
      </c>
      <c r="E20" s="11" t="s">
        <v>38</v>
      </c>
      <c r="F20" s="11" t="s">
        <v>39</v>
      </c>
      <c r="G20" s="12">
        <v>10.0</v>
      </c>
      <c r="H20" s="13">
        <v>1798.72</v>
      </c>
      <c r="I20" s="14">
        <f t="shared" si="1"/>
        <v>17987.2</v>
      </c>
      <c r="J20" s="15">
        <f t="shared" si="2"/>
        <v>2025</v>
      </c>
      <c r="K20" s="15">
        <f t="shared" si="3"/>
        <v>3</v>
      </c>
      <c r="L20" s="15">
        <f t="shared" si="4"/>
        <v>7</v>
      </c>
      <c r="M20" s="15">
        <f t="shared" si="5"/>
        <v>6</v>
      </c>
      <c r="N20" s="16">
        <f t="shared" si="6"/>
        <v>7194.88</v>
      </c>
      <c r="O20" s="16">
        <f t="shared" si="7"/>
        <v>1798.72</v>
      </c>
      <c r="P20" s="17" t="str">
        <f t="shared" si="8"/>
        <v>2025_3</v>
      </c>
      <c r="Q20" s="17" t="str">
        <f t="shared" si="9"/>
        <v>VIP</v>
      </c>
    </row>
    <row r="21" ht="22.5" customHeight="1">
      <c r="A21" s="9">
        <v>45786.0</v>
      </c>
      <c r="B21" s="10">
        <v>3280.0</v>
      </c>
      <c r="C21" s="11" t="s">
        <v>99</v>
      </c>
      <c r="D21" s="11" t="s">
        <v>22</v>
      </c>
      <c r="E21" s="11" t="s">
        <v>32</v>
      </c>
      <c r="F21" s="11" t="s">
        <v>100</v>
      </c>
      <c r="G21" s="12">
        <v>10.0</v>
      </c>
      <c r="H21" s="13">
        <v>2368.75</v>
      </c>
      <c r="I21" s="14">
        <f t="shared" si="1"/>
        <v>23687.5</v>
      </c>
      <c r="J21" s="15">
        <f t="shared" si="2"/>
        <v>2025</v>
      </c>
      <c r="K21" s="15">
        <f t="shared" si="3"/>
        <v>5</v>
      </c>
      <c r="L21" s="15">
        <f t="shared" si="4"/>
        <v>9</v>
      </c>
      <c r="M21" s="15">
        <f t="shared" si="5"/>
        <v>6</v>
      </c>
      <c r="N21" s="16">
        <f t="shared" si="6"/>
        <v>9475</v>
      </c>
      <c r="O21" s="16">
        <f t="shared" si="7"/>
        <v>2368.75</v>
      </c>
      <c r="P21" s="17" t="str">
        <f t="shared" si="8"/>
        <v>2025_5</v>
      </c>
      <c r="Q21" s="17" t="str">
        <f t="shared" si="9"/>
        <v>VIP</v>
      </c>
    </row>
    <row r="22" ht="22.5" customHeight="1">
      <c r="A22" s="9">
        <v>45726.0</v>
      </c>
      <c r="B22" s="10">
        <v>6741.0</v>
      </c>
      <c r="C22" s="11" t="s">
        <v>104</v>
      </c>
      <c r="D22" s="11" t="s">
        <v>37</v>
      </c>
      <c r="E22" s="11" t="s">
        <v>38</v>
      </c>
      <c r="F22" s="11" t="s">
        <v>60</v>
      </c>
      <c r="G22" s="12">
        <v>9.0</v>
      </c>
      <c r="H22" s="13">
        <v>2897.17</v>
      </c>
      <c r="I22" s="14">
        <f t="shared" si="1"/>
        <v>26074.53</v>
      </c>
      <c r="J22" s="15">
        <f t="shared" si="2"/>
        <v>2025</v>
      </c>
      <c r="K22" s="15">
        <f t="shared" si="3"/>
        <v>3</v>
      </c>
      <c r="L22" s="15">
        <f t="shared" si="4"/>
        <v>10</v>
      </c>
      <c r="M22" s="15">
        <f t="shared" si="5"/>
        <v>2</v>
      </c>
      <c r="N22" s="16">
        <f t="shared" si="6"/>
        <v>10429.812</v>
      </c>
      <c r="O22" s="16">
        <f t="shared" si="7"/>
        <v>2607.453</v>
      </c>
      <c r="P22" s="17" t="str">
        <f t="shared" si="8"/>
        <v>2025_3</v>
      </c>
      <c r="Q22" s="17" t="str">
        <f t="shared" si="9"/>
        <v>VIP</v>
      </c>
    </row>
    <row r="23" ht="22.5" customHeight="1">
      <c r="A23" s="9">
        <v>45757.0</v>
      </c>
      <c r="B23" s="10">
        <v>4693.0</v>
      </c>
      <c r="C23" s="11" t="s">
        <v>106</v>
      </c>
      <c r="D23" s="11" t="s">
        <v>43</v>
      </c>
      <c r="E23" s="11" t="s">
        <v>38</v>
      </c>
      <c r="F23" s="11" t="s">
        <v>68</v>
      </c>
      <c r="G23" s="12">
        <v>7.0</v>
      </c>
      <c r="H23" s="13">
        <v>2258.73</v>
      </c>
      <c r="I23" s="14">
        <f t="shared" si="1"/>
        <v>15811.11</v>
      </c>
      <c r="J23" s="15">
        <f t="shared" si="2"/>
        <v>2025</v>
      </c>
      <c r="K23" s="15">
        <f t="shared" si="3"/>
        <v>4</v>
      </c>
      <c r="L23" s="15">
        <f t="shared" si="4"/>
        <v>10</v>
      </c>
      <c r="M23" s="15">
        <f t="shared" si="5"/>
        <v>5</v>
      </c>
      <c r="N23" s="16">
        <f t="shared" si="6"/>
        <v>6324.444</v>
      </c>
      <c r="O23" s="16">
        <f t="shared" si="7"/>
        <v>1581.111</v>
      </c>
      <c r="P23" s="17" t="str">
        <f t="shared" si="8"/>
        <v>2025_4</v>
      </c>
      <c r="Q23" s="17" t="str">
        <f t="shared" si="9"/>
        <v>VIP</v>
      </c>
    </row>
    <row r="24" ht="22.5" customHeight="1">
      <c r="A24" s="9">
        <v>45787.0</v>
      </c>
      <c r="B24" s="10">
        <v>7166.0</v>
      </c>
      <c r="C24" s="11" t="s">
        <v>107</v>
      </c>
      <c r="D24" s="11" t="s">
        <v>65</v>
      </c>
      <c r="E24" s="11" t="s">
        <v>19</v>
      </c>
      <c r="F24" s="11" t="s">
        <v>58</v>
      </c>
      <c r="G24" s="12">
        <v>10.0</v>
      </c>
      <c r="H24" s="13">
        <v>1462.31</v>
      </c>
      <c r="I24" s="14">
        <f t="shared" si="1"/>
        <v>14623.1</v>
      </c>
      <c r="J24" s="15">
        <f t="shared" si="2"/>
        <v>2025</v>
      </c>
      <c r="K24" s="15">
        <f t="shared" si="3"/>
        <v>5</v>
      </c>
      <c r="L24" s="15">
        <f t="shared" si="4"/>
        <v>10</v>
      </c>
      <c r="M24" s="15">
        <f t="shared" si="5"/>
        <v>7</v>
      </c>
      <c r="N24" s="16">
        <f t="shared" si="6"/>
        <v>5849.24</v>
      </c>
      <c r="O24" s="16">
        <f t="shared" si="7"/>
        <v>1462.31</v>
      </c>
      <c r="P24" s="17" t="str">
        <f t="shared" si="8"/>
        <v>2025_5</v>
      </c>
      <c r="Q24" s="17" t="str">
        <f t="shared" si="9"/>
        <v>VIP</v>
      </c>
    </row>
    <row r="25" ht="22.5" customHeight="1">
      <c r="A25" s="9">
        <v>45758.0</v>
      </c>
      <c r="B25" s="10">
        <v>1070.0</v>
      </c>
      <c r="C25" s="11" t="s">
        <v>112</v>
      </c>
      <c r="D25" s="11" t="s">
        <v>65</v>
      </c>
      <c r="E25" s="11" t="s">
        <v>38</v>
      </c>
      <c r="F25" s="11" t="s">
        <v>60</v>
      </c>
      <c r="G25" s="12">
        <v>7.0</v>
      </c>
      <c r="H25" s="13">
        <v>2220.94</v>
      </c>
      <c r="I25" s="14">
        <f t="shared" si="1"/>
        <v>15546.58</v>
      </c>
      <c r="J25" s="15">
        <f t="shared" si="2"/>
        <v>2025</v>
      </c>
      <c r="K25" s="15">
        <f t="shared" si="3"/>
        <v>4</v>
      </c>
      <c r="L25" s="15">
        <f t="shared" si="4"/>
        <v>11</v>
      </c>
      <c r="M25" s="15">
        <f t="shared" si="5"/>
        <v>6</v>
      </c>
      <c r="N25" s="16">
        <f t="shared" si="6"/>
        <v>6218.632</v>
      </c>
      <c r="O25" s="16">
        <f t="shared" si="7"/>
        <v>1554.658</v>
      </c>
      <c r="P25" s="17" t="str">
        <f t="shared" si="8"/>
        <v>2025_4</v>
      </c>
      <c r="Q25" s="17" t="str">
        <f t="shared" si="9"/>
        <v>VIP</v>
      </c>
    </row>
    <row r="26" ht="22.5" customHeight="1">
      <c r="A26" s="9">
        <v>45788.0</v>
      </c>
      <c r="B26" s="10">
        <v>3170.0</v>
      </c>
      <c r="C26" s="11" t="s">
        <v>113</v>
      </c>
      <c r="D26" s="11" t="s">
        <v>43</v>
      </c>
      <c r="E26" s="11" t="s">
        <v>28</v>
      </c>
      <c r="F26" s="11" t="s">
        <v>29</v>
      </c>
      <c r="G26" s="12">
        <v>9.0</v>
      </c>
      <c r="H26" s="13">
        <v>1610.73</v>
      </c>
      <c r="I26" s="14">
        <f t="shared" si="1"/>
        <v>14496.57</v>
      </c>
      <c r="J26" s="15">
        <f t="shared" si="2"/>
        <v>2025</v>
      </c>
      <c r="K26" s="15">
        <f t="shared" si="3"/>
        <v>5</v>
      </c>
      <c r="L26" s="15">
        <f t="shared" si="4"/>
        <v>11</v>
      </c>
      <c r="M26" s="15">
        <f t="shared" si="5"/>
        <v>1</v>
      </c>
      <c r="N26" s="16">
        <f t="shared" si="6"/>
        <v>5798.628</v>
      </c>
      <c r="O26" s="16">
        <f t="shared" si="7"/>
        <v>1449.657</v>
      </c>
      <c r="P26" s="17" t="str">
        <f t="shared" si="8"/>
        <v>2025_5</v>
      </c>
      <c r="Q26" s="17" t="str">
        <f t="shared" si="9"/>
        <v>VIP</v>
      </c>
    </row>
    <row r="27" ht="22.5" customHeight="1">
      <c r="A27" s="9">
        <v>45700.0</v>
      </c>
      <c r="B27" s="10">
        <v>4047.0</v>
      </c>
      <c r="C27" s="11" t="s">
        <v>116</v>
      </c>
      <c r="D27" s="11" t="s">
        <v>22</v>
      </c>
      <c r="E27" s="11" t="s">
        <v>19</v>
      </c>
      <c r="F27" s="11" t="s">
        <v>58</v>
      </c>
      <c r="G27" s="12">
        <v>8.0</v>
      </c>
      <c r="H27" s="13">
        <v>1250.26</v>
      </c>
      <c r="I27" s="14">
        <f t="shared" si="1"/>
        <v>10002.08</v>
      </c>
      <c r="J27" s="15">
        <f t="shared" si="2"/>
        <v>2025</v>
      </c>
      <c r="K27" s="15">
        <f t="shared" si="3"/>
        <v>2</v>
      </c>
      <c r="L27" s="15">
        <f t="shared" si="4"/>
        <v>12</v>
      </c>
      <c r="M27" s="15">
        <f t="shared" si="5"/>
        <v>4</v>
      </c>
      <c r="N27" s="16">
        <f t="shared" si="6"/>
        <v>4000.832</v>
      </c>
      <c r="O27" s="16">
        <f t="shared" si="7"/>
        <v>1000.208</v>
      </c>
      <c r="P27" s="17" t="str">
        <f t="shared" si="8"/>
        <v>2025_2</v>
      </c>
      <c r="Q27" s="17" t="str">
        <f t="shared" si="9"/>
        <v>VIP</v>
      </c>
    </row>
    <row r="28" ht="22.5" customHeight="1">
      <c r="A28" s="9">
        <v>45759.0</v>
      </c>
      <c r="B28" s="10">
        <v>4562.0</v>
      </c>
      <c r="C28" s="11" t="s">
        <v>119</v>
      </c>
      <c r="D28" s="11" t="s">
        <v>65</v>
      </c>
      <c r="E28" s="11" t="s">
        <v>19</v>
      </c>
      <c r="F28" s="11" t="s">
        <v>41</v>
      </c>
      <c r="G28" s="12">
        <v>10.0</v>
      </c>
      <c r="H28" s="13">
        <v>2094.24</v>
      </c>
      <c r="I28" s="14">
        <f t="shared" si="1"/>
        <v>20942.4</v>
      </c>
      <c r="J28" s="15">
        <f t="shared" si="2"/>
        <v>2025</v>
      </c>
      <c r="K28" s="15">
        <f t="shared" si="3"/>
        <v>4</v>
      </c>
      <c r="L28" s="15">
        <f t="shared" si="4"/>
        <v>12</v>
      </c>
      <c r="M28" s="15">
        <f t="shared" si="5"/>
        <v>7</v>
      </c>
      <c r="N28" s="16">
        <f t="shared" si="6"/>
        <v>8376.96</v>
      </c>
      <c r="O28" s="16">
        <f t="shared" si="7"/>
        <v>2094.24</v>
      </c>
      <c r="P28" s="17" t="str">
        <f t="shared" si="8"/>
        <v>2025_4</v>
      </c>
      <c r="Q28" s="17" t="str">
        <f t="shared" si="9"/>
        <v>VIP</v>
      </c>
    </row>
    <row r="29" ht="22.5" customHeight="1">
      <c r="A29" s="9">
        <v>45759.0</v>
      </c>
      <c r="B29" s="10">
        <v>8251.0</v>
      </c>
      <c r="C29" s="11" t="s">
        <v>121</v>
      </c>
      <c r="D29" s="11" t="s">
        <v>37</v>
      </c>
      <c r="E29" s="11" t="s">
        <v>19</v>
      </c>
      <c r="F29" s="11" t="s">
        <v>44</v>
      </c>
      <c r="G29" s="12">
        <v>8.0</v>
      </c>
      <c r="H29" s="13">
        <v>1574.21</v>
      </c>
      <c r="I29" s="14">
        <f t="shared" si="1"/>
        <v>12593.68</v>
      </c>
      <c r="J29" s="15">
        <f t="shared" si="2"/>
        <v>2025</v>
      </c>
      <c r="K29" s="15">
        <f t="shared" si="3"/>
        <v>4</v>
      </c>
      <c r="L29" s="15">
        <f t="shared" si="4"/>
        <v>12</v>
      </c>
      <c r="M29" s="15">
        <f t="shared" si="5"/>
        <v>7</v>
      </c>
      <c r="N29" s="16">
        <f t="shared" si="6"/>
        <v>5037.472</v>
      </c>
      <c r="O29" s="16">
        <f t="shared" si="7"/>
        <v>1259.368</v>
      </c>
      <c r="P29" s="17" t="str">
        <f t="shared" si="8"/>
        <v>2025_4</v>
      </c>
      <c r="Q29" s="17" t="str">
        <f t="shared" si="9"/>
        <v>VIP</v>
      </c>
    </row>
    <row r="30" ht="22.5" customHeight="1">
      <c r="A30" s="9">
        <v>45670.0</v>
      </c>
      <c r="B30" s="10">
        <v>7689.0</v>
      </c>
      <c r="C30" s="11" t="s">
        <v>123</v>
      </c>
      <c r="D30" s="11" t="s">
        <v>65</v>
      </c>
      <c r="E30" s="11" t="s">
        <v>19</v>
      </c>
      <c r="F30" s="11" t="s">
        <v>58</v>
      </c>
      <c r="G30" s="12">
        <v>8.0</v>
      </c>
      <c r="H30" s="13">
        <v>2391.07</v>
      </c>
      <c r="I30" s="14">
        <f t="shared" si="1"/>
        <v>19128.56</v>
      </c>
      <c r="J30" s="15">
        <f t="shared" si="2"/>
        <v>2025</v>
      </c>
      <c r="K30" s="15">
        <f t="shared" si="3"/>
        <v>1</v>
      </c>
      <c r="L30" s="15">
        <f t="shared" si="4"/>
        <v>13</v>
      </c>
      <c r="M30" s="15">
        <f t="shared" si="5"/>
        <v>2</v>
      </c>
      <c r="N30" s="16">
        <f t="shared" si="6"/>
        <v>7651.424</v>
      </c>
      <c r="O30" s="16">
        <f t="shared" si="7"/>
        <v>1912.856</v>
      </c>
      <c r="P30" s="17" t="str">
        <f t="shared" si="8"/>
        <v>2025_1</v>
      </c>
      <c r="Q30" s="17" t="str">
        <f t="shared" si="9"/>
        <v>VIP</v>
      </c>
    </row>
    <row r="31" ht="22.5" customHeight="1">
      <c r="A31" s="9">
        <v>45729.0</v>
      </c>
      <c r="B31" s="10">
        <v>6638.0</v>
      </c>
      <c r="C31" s="11" t="s">
        <v>128</v>
      </c>
      <c r="D31" s="11" t="s">
        <v>65</v>
      </c>
      <c r="E31" s="11" t="s">
        <v>28</v>
      </c>
      <c r="F31" s="11" t="s">
        <v>98</v>
      </c>
      <c r="G31" s="12">
        <v>8.0</v>
      </c>
      <c r="H31" s="13">
        <v>2277.06</v>
      </c>
      <c r="I31" s="14">
        <f t="shared" si="1"/>
        <v>18216.48</v>
      </c>
      <c r="J31" s="15">
        <f t="shared" si="2"/>
        <v>2025</v>
      </c>
      <c r="K31" s="15">
        <f t="shared" si="3"/>
        <v>3</v>
      </c>
      <c r="L31" s="15">
        <f t="shared" si="4"/>
        <v>13</v>
      </c>
      <c r="M31" s="15">
        <f t="shared" si="5"/>
        <v>5</v>
      </c>
      <c r="N31" s="16">
        <f t="shared" si="6"/>
        <v>7286.592</v>
      </c>
      <c r="O31" s="16">
        <f t="shared" si="7"/>
        <v>1821.648</v>
      </c>
      <c r="P31" s="17" t="str">
        <f t="shared" si="8"/>
        <v>2025_3</v>
      </c>
      <c r="Q31" s="17" t="str">
        <f t="shared" si="9"/>
        <v>VIP</v>
      </c>
    </row>
    <row r="32" ht="22.5" customHeight="1">
      <c r="A32" s="9">
        <v>45730.0</v>
      </c>
      <c r="B32" s="10">
        <v>9320.0</v>
      </c>
      <c r="C32" s="11" t="s">
        <v>135</v>
      </c>
      <c r="D32" s="11" t="s">
        <v>43</v>
      </c>
      <c r="E32" s="11" t="s">
        <v>28</v>
      </c>
      <c r="F32" s="11" t="s">
        <v>76</v>
      </c>
      <c r="G32" s="12">
        <v>7.0</v>
      </c>
      <c r="H32" s="13">
        <v>2406.94</v>
      </c>
      <c r="I32" s="14">
        <f t="shared" si="1"/>
        <v>16848.58</v>
      </c>
      <c r="J32" s="15">
        <f t="shared" si="2"/>
        <v>2025</v>
      </c>
      <c r="K32" s="15">
        <f t="shared" si="3"/>
        <v>3</v>
      </c>
      <c r="L32" s="15">
        <f t="shared" si="4"/>
        <v>14</v>
      </c>
      <c r="M32" s="15">
        <f t="shared" si="5"/>
        <v>6</v>
      </c>
      <c r="N32" s="16">
        <f t="shared" si="6"/>
        <v>6739.432</v>
      </c>
      <c r="O32" s="16">
        <f t="shared" si="7"/>
        <v>1684.858</v>
      </c>
      <c r="P32" s="17" t="str">
        <f t="shared" si="8"/>
        <v>2025_3</v>
      </c>
      <c r="Q32" s="17" t="str">
        <f t="shared" si="9"/>
        <v>VIP</v>
      </c>
    </row>
    <row r="33" ht="22.5" customHeight="1">
      <c r="A33" s="9">
        <v>45703.0</v>
      </c>
      <c r="B33" s="10">
        <v>9149.0</v>
      </c>
      <c r="C33" s="11" t="s">
        <v>138</v>
      </c>
      <c r="D33" s="11" t="s">
        <v>27</v>
      </c>
      <c r="E33" s="11" t="s">
        <v>32</v>
      </c>
      <c r="F33" s="11" t="s">
        <v>85</v>
      </c>
      <c r="G33" s="12">
        <v>7.0</v>
      </c>
      <c r="H33" s="13">
        <v>2458.52</v>
      </c>
      <c r="I33" s="14">
        <f t="shared" si="1"/>
        <v>17209.64</v>
      </c>
      <c r="J33" s="15">
        <f t="shared" si="2"/>
        <v>2025</v>
      </c>
      <c r="K33" s="15">
        <f t="shared" si="3"/>
        <v>2</v>
      </c>
      <c r="L33" s="15">
        <f t="shared" si="4"/>
        <v>15</v>
      </c>
      <c r="M33" s="15">
        <f t="shared" si="5"/>
        <v>7</v>
      </c>
      <c r="N33" s="16">
        <f t="shared" si="6"/>
        <v>6883.856</v>
      </c>
      <c r="O33" s="16">
        <f t="shared" si="7"/>
        <v>1720.964</v>
      </c>
      <c r="P33" s="17" t="str">
        <f t="shared" si="8"/>
        <v>2025_2</v>
      </c>
      <c r="Q33" s="17" t="str">
        <f t="shared" si="9"/>
        <v>VIP</v>
      </c>
    </row>
    <row r="34" ht="22.5" customHeight="1">
      <c r="A34" s="9">
        <v>45703.0</v>
      </c>
      <c r="B34" s="10">
        <v>9898.0</v>
      </c>
      <c r="C34" s="11" t="s">
        <v>139</v>
      </c>
      <c r="D34" s="11" t="s">
        <v>37</v>
      </c>
      <c r="E34" s="11" t="s">
        <v>28</v>
      </c>
      <c r="F34" s="11" t="s">
        <v>50</v>
      </c>
      <c r="G34" s="12">
        <v>9.0</v>
      </c>
      <c r="H34" s="13">
        <v>2905.37</v>
      </c>
      <c r="I34" s="14">
        <f t="shared" si="1"/>
        <v>26148.33</v>
      </c>
      <c r="J34" s="15">
        <f t="shared" si="2"/>
        <v>2025</v>
      </c>
      <c r="K34" s="15">
        <f t="shared" si="3"/>
        <v>2</v>
      </c>
      <c r="L34" s="15">
        <f t="shared" si="4"/>
        <v>15</v>
      </c>
      <c r="M34" s="15">
        <f t="shared" si="5"/>
        <v>7</v>
      </c>
      <c r="N34" s="16">
        <f t="shared" si="6"/>
        <v>10459.332</v>
      </c>
      <c r="O34" s="16">
        <f t="shared" si="7"/>
        <v>2614.833</v>
      </c>
      <c r="P34" s="17" t="str">
        <f t="shared" si="8"/>
        <v>2025_2</v>
      </c>
      <c r="Q34" s="17" t="str">
        <f t="shared" si="9"/>
        <v>VIP</v>
      </c>
    </row>
    <row r="35" ht="22.5" customHeight="1">
      <c r="A35" s="9">
        <v>45703.0</v>
      </c>
      <c r="B35" s="10">
        <v>3895.0</v>
      </c>
      <c r="C35" s="11" t="s">
        <v>140</v>
      </c>
      <c r="D35" s="11" t="s">
        <v>31</v>
      </c>
      <c r="E35" s="11" t="s">
        <v>32</v>
      </c>
      <c r="F35" s="11" t="s">
        <v>78</v>
      </c>
      <c r="G35" s="12">
        <v>7.0</v>
      </c>
      <c r="H35" s="13">
        <v>1733.91</v>
      </c>
      <c r="I35" s="14">
        <f t="shared" si="1"/>
        <v>12137.37</v>
      </c>
      <c r="J35" s="15">
        <f t="shared" si="2"/>
        <v>2025</v>
      </c>
      <c r="K35" s="15">
        <f t="shared" si="3"/>
        <v>2</v>
      </c>
      <c r="L35" s="15">
        <f t="shared" si="4"/>
        <v>15</v>
      </c>
      <c r="M35" s="15">
        <f t="shared" si="5"/>
        <v>7</v>
      </c>
      <c r="N35" s="16">
        <f t="shared" si="6"/>
        <v>4854.948</v>
      </c>
      <c r="O35" s="16">
        <f t="shared" si="7"/>
        <v>1213.737</v>
      </c>
      <c r="P35" s="17" t="str">
        <f t="shared" si="8"/>
        <v>2025_2</v>
      </c>
      <c r="Q35" s="17" t="str">
        <f t="shared" si="9"/>
        <v>VIP</v>
      </c>
    </row>
    <row r="36" ht="22.5" customHeight="1">
      <c r="A36" s="9">
        <v>45731.0</v>
      </c>
      <c r="B36" s="10">
        <v>4658.0</v>
      </c>
      <c r="C36" s="11" t="s">
        <v>141</v>
      </c>
      <c r="D36" s="11" t="s">
        <v>27</v>
      </c>
      <c r="E36" s="11" t="s">
        <v>23</v>
      </c>
      <c r="F36" s="11" t="s">
        <v>24</v>
      </c>
      <c r="G36" s="12">
        <v>7.0</v>
      </c>
      <c r="H36" s="13">
        <v>1692.65</v>
      </c>
      <c r="I36" s="14">
        <f t="shared" si="1"/>
        <v>11848.55</v>
      </c>
      <c r="J36" s="15">
        <f t="shared" si="2"/>
        <v>2025</v>
      </c>
      <c r="K36" s="15">
        <f t="shared" si="3"/>
        <v>3</v>
      </c>
      <c r="L36" s="15">
        <f t="shared" si="4"/>
        <v>15</v>
      </c>
      <c r="M36" s="15">
        <f t="shared" si="5"/>
        <v>7</v>
      </c>
      <c r="N36" s="16">
        <f t="shared" si="6"/>
        <v>4739.42</v>
      </c>
      <c r="O36" s="16">
        <f t="shared" si="7"/>
        <v>1184.855</v>
      </c>
      <c r="P36" s="17" t="str">
        <f t="shared" si="8"/>
        <v>2025_3</v>
      </c>
      <c r="Q36" s="17" t="str">
        <f t="shared" si="9"/>
        <v>VIP</v>
      </c>
    </row>
    <row r="37" ht="22.5" customHeight="1">
      <c r="A37" s="9">
        <v>45731.0</v>
      </c>
      <c r="B37" s="10">
        <v>6151.0</v>
      </c>
      <c r="C37" s="11" t="s">
        <v>142</v>
      </c>
      <c r="D37" s="11" t="s">
        <v>43</v>
      </c>
      <c r="E37" s="11" t="s">
        <v>28</v>
      </c>
      <c r="F37" s="11" t="s">
        <v>29</v>
      </c>
      <c r="G37" s="12">
        <v>8.0</v>
      </c>
      <c r="H37" s="13">
        <v>2756.99</v>
      </c>
      <c r="I37" s="14">
        <f t="shared" si="1"/>
        <v>22055.92</v>
      </c>
      <c r="J37" s="15">
        <f t="shared" si="2"/>
        <v>2025</v>
      </c>
      <c r="K37" s="15">
        <f t="shared" si="3"/>
        <v>3</v>
      </c>
      <c r="L37" s="15">
        <f t="shared" si="4"/>
        <v>15</v>
      </c>
      <c r="M37" s="15">
        <f t="shared" si="5"/>
        <v>7</v>
      </c>
      <c r="N37" s="16">
        <f t="shared" si="6"/>
        <v>8822.368</v>
      </c>
      <c r="O37" s="16">
        <f t="shared" si="7"/>
        <v>2205.592</v>
      </c>
      <c r="P37" s="17" t="str">
        <f t="shared" si="8"/>
        <v>2025_3</v>
      </c>
      <c r="Q37" s="17" t="str">
        <f t="shared" si="9"/>
        <v>VIP</v>
      </c>
    </row>
    <row r="38" ht="22.5" customHeight="1">
      <c r="A38" s="9">
        <v>45705.0</v>
      </c>
      <c r="B38" s="10">
        <v>7947.0</v>
      </c>
      <c r="C38" s="11" t="s">
        <v>150</v>
      </c>
      <c r="D38" s="11" t="s">
        <v>31</v>
      </c>
      <c r="E38" s="11" t="s">
        <v>23</v>
      </c>
      <c r="F38" s="11" t="s">
        <v>35</v>
      </c>
      <c r="G38" s="12">
        <v>7.0</v>
      </c>
      <c r="H38" s="13">
        <v>1737.15</v>
      </c>
      <c r="I38" s="14">
        <f t="shared" si="1"/>
        <v>12160.05</v>
      </c>
      <c r="J38" s="15">
        <f t="shared" si="2"/>
        <v>2025</v>
      </c>
      <c r="K38" s="15">
        <f t="shared" si="3"/>
        <v>2</v>
      </c>
      <c r="L38" s="15">
        <f t="shared" si="4"/>
        <v>17</v>
      </c>
      <c r="M38" s="15">
        <f t="shared" si="5"/>
        <v>2</v>
      </c>
      <c r="N38" s="16">
        <f t="shared" si="6"/>
        <v>4864.02</v>
      </c>
      <c r="O38" s="16">
        <f t="shared" si="7"/>
        <v>1216.005</v>
      </c>
      <c r="P38" s="17" t="str">
        <f t="shared" si="8"/>
        <v>2025_2</v>
      </c>
      <c r="Q38" s="17" t="str">
        <f t="shared" si="9"/>
        <v>VIP</v>
      </c>
    </row>
    <row r="39" ht="22.5" customHeight="1">
      <c r="A39" s="9">
        <v>45764.0</v>
      </c>
      <c r="B39" s="10">
        <v>8963.0</v>
      </c>
      <c r="C39" s="11" t="s">
        <v>153</v>
      </c>
      <c r="D39" s="11" t="s">
        <v>43</v>
      </c>
      <c r="E39" s="11" t="s">
        <v>32</v>
      </c>
      <c r="F39" s="11" t="s">
        <v>56</v>
      </c>
      <c r="G39" s="12">
        <v>6.0</v>
      </c>
      <c r="H39" s="13">
        <v>1921.29</v>
      </c>
      <c r="I39" s="14">
        <f t="shared" si="1"/>
        <v>11527.74</v>
      </c>
      <c r="J39" s="15">
        <f t="shared" si="2"/>
        <v>2025</v>
      </c>
      <c r="K39" s="15">
        <f t="shared" si="3"/>
        <v>4</v>
      </c>
      <c r="L39" s="15">
        <f t="shared" si="4"/>
        <v>17</v>
      </c>
      <c r="M39" s="15">
        <f t="shared" si="5"/>
        <v>5</v>
      </c>
      <c r="N39" s="16">
        <f t="shared" si="6"/>
        <v>4611.096</v>
      </c>
      <c r="O39" s="16">
        <f t="shared" si="7"/>
        <v>1152.774</v>
      </c>
      <c r="P39" s="17" t="str">
        <f t="shared" si="8"/>
        <v>2025_4</v>
      </c>
      <c r="Q39" s="17" t="str">
        <f t="shared" si="9"/>
        <v>VIP</v>
      </c>
    </row>
    <row r="40" ht="22.5" customHeight="1">
      <c r="A40" s="9">
        <v>45675.0</v>
      </c>
      <c r="B40" s="10">
        <v>1583.0</v>
      </c>
      <c r="C40" s="11" t="s">
        <v>156</v>
      </c>
      <c r="D40" s="11" t="s">
        <v>65</v>
      </c>
      <c r="E40" s="11" t="s">
        <v>32</v>
      </c>
      <c r="F40" s="11" t="s">
        <v>33</v>
      </c>
      <c r="G40" s="12">
        <v>4.0</v>
      </c>
      <c r="H40" s="13">
        <v>2912.84</v>
      </c>
      <c r="I40" s="14">
        <f t="shared" si="1"/>
        <v>11651.36</v>
      </c>
      <c r="J40" s="15">
        <f t="shared" si="2"/>
        <v>2025</v>
      </c>
      <c r="K40" s="15">
        <f t="shared" si="3"/>
        <v>1</v>
      </c>
      <c r="L40" s="15">
        <f t="shared" si="4"/>
        <v>18</v>
      </c>
      <c r="M40" s="15">
        <f t="shared" si="5"/>
        <v>7</v>
      </c>
      <c r="N40" s="16">
        <f t="shared" si="6"/>
        <v>4660.544</v>
      </c>
      <c r="O40" s="16">
        <f t="shared" si="7"/>
        <v>1165.136</v>
      </c>
      <c r="P40" s="17" t="str">
        <f t="shared" si="8"/>
        <v>2025_1</v>
      </c>
      <c r="Q40" s="17" t="str">
        <f t="shared" si="9"/>
        <v>VIP</v>
      </c>
    </row>
    <row r="41" ht="22.5" customHeight="1">
      <c r="A41" s="9">
        <v>45676.0</v>
      </c>
      <c r="B41" s="10">
        <v>7831.0</v>
      </c>
      <c r="C41" s="11" t="s">
        <v>166</v>
      </c>
      <c r="D41" s="11" t="s">
        <v>31</v>
      </c>
      <c r="E41" s="11" t="s">
        <v>32</v>
      </c>
      <c r="F41" s="11" t="s">
        <v>100</v>
      </c>
      <c r="G41" s="12">
        <v>10.0</v>
      </c>
      <c r="H41" s="13">
        <v>2175.89</v>
      </c>
      <c r="I41" s="14">
        <f t="shared" si="1"/>
        <v>21758.9</v>
      </c>
      <c r="J41" s="15">
        <f t="shared" si="2"/>
        <v>2025</v>
      </c>
      <c r="K41" s="15">
        <f t="shared" si="3"/>
        <v>1</v>
      </c>
      <c r="L41" s="15">
        <f t="shared" si="4"/>
        <v>19</v>
      </c>
      <c r="M41" s="15">
        <f t="shared" si="5"/>
        <v>1</v>
      </c>
      <c r="N41" s="16">
        <f t="shared" si="6"/>
        <v>8703.56</v>
      </c>
      <c r="O41" s="16">
        <f t="shared" si="7"/>
        <v>2175.89</v>
      </c>
      <c r="P41" s="17" t="str">
        <f t="shared" si="8"/>
        <v>2025_1</v>
      </c>
      <c r="Q41" s="17" t="str">
        <f t="shared" si="9"/>
        <v>VIP</v>
      </c>
    </row>
    <row r="42" ht="22.5" customHeight="1">
      <c r="A42" s="9">
        <v>45645.0</v>
      </c>
      <c r="B42" s="10">
        <v>4729.0</v>
      </c>
      <c r="C42" s="11" t="s">
        <v>171</v>
      </c>
      <c r="D42" s="11" t="s">
        <v>22</v>
      </c>
      <c r="E42" s="11" t="s">
        <v>23</v>
      </c>
      <c r="F42" s="11" t="s">
        <v>35</v>
      </c>
      <c r="G42" s="12">
        <v>9.0</v>
      </c>
      <c r="H42" s="13">
        <v>1811.24</v>
      </c>
      <c r="I42" s="14">
        <f t="shared" si="1"/>
        <v>16301.16</v>
      </c>
      <c r="J42" s="15">
        <f t="shared" si="2"/>
        <v>2024</v>
      </c>
      <c r="K42" s="15">
        <f t="shared" si="3"/>
        <v>12</v>
      </c>
      <c r="L42" s="15">
        <f t="shared" si="4"/>
        <v>19</v>
      </c>
      <c r="M42" s="15">
        <f t="shared" si="5"/>
        <v>5</v>
      </c>
      <c r="N42" s="16">
        <f t="shared" si="6"/>
        <v>6520.464</v>
      </c>
      <c r="O42" s="16">
        <f t="shared" si="7"/>
        <v>1630.116</v>
      </c>
      <c r="P42" s="17" t="str">
        <f t="shared" si="8"/>
        <v>2024_12</v>
      </c>
      <c r="Q42" s="17" t="str">
        <f t="shared" si="9"/>
        <v>VIP</v>
      </c>
    </row>
    <row r="43" ht="22.5" customHeight="1">
      <c r="A43" s="9">
        <v>45645.0</v>
      </c>
      <c r="B43" s="10">
        <v>3110.0</v>
      </c>
      <c r="C43" s="11" t="s">
        <v>173</v>
      </c>
      <c r="D43" s="11" t="s">
        <v>43</v>
      </c>
      <c r="E43" s="11" t="s">
        <v>38</v>
      </c>
      <c r="F43" s="11" t="s">
        <v>39</v>
      </c>
      <c r="G43" s="12">
        <v>10.0</v>
      </c>
      <c r="H43" s="13">
        <v>1507.34</v>
      </c>
      <c r="I43" s="14">
        <f t="shared" si="1"/>
        <v>15073.4</v>
      </c>
      <c r="J43" s="15">
        <f t="shared" si="2"/>
        <v>2024</v>
      </c>
      <c r="K43" s="15">
        <f t="shared" si="3"/>
        <v>12</v>
      </c>
      <c r="L43" s="15">
        <f t="shared" si="4"/>
        <v>19</v>
      </c>
      <c r="M43" s="15">
        <f t="shared" si="5"/>
        <v>5</v>
      </c>
      <c r="N43" s="16">
        <f t="shared" si="6"/>
        <v>6029.36</v>
      </c>
      <c r="O43" s="16">
        <f t="shared" si="7"/>
        <v>1507.34</v>
      </c>
      <c r="P43" s="17" t="str">
        <f t="shared" si="8"/>
        <v>2024_12</v>
      </c>
      <c r="Q43" s="17" t="str">
        <f t="shared" si="9"/>
        <v>VIP</v>
      </c>
    </row>
    <row r="44" ht="22.5" customHeight="1">
      <c r="A44" s="9">
        <v>45677.0</v>
      </c>
      <c r="B44" s="10">
        <v>7981.0</v>
      </c>
      <c r="C44" s="11" t="s">
        <v>174</v>
      </c>
      <c r="D44" s="11" t="s">
        <v>27</v>
      </c>
      <c r="E44" s="11" t="s">
        <v>19</v>
      </c>
      <c r="F44" s="11" t="s">
        <v>58</v>
      </c>
      <c r="G44" s="12">
        <v>4.0</v>
      </c>
      <c r="H44" s="13">
        <v>2972.09</v>
      </c>
      <c r="I44" s="14">
        <f t="shared" si="1"/>
        <v>11888.36</v>
      </c>
      <c r="J44" s="15">
        <f t="shared" si="2"/>
        <v>2025</v>
      </c>
      <c r="K44" s="15">
        <f t="shared" si="3"/>
        <v>1</v>
      </c>
      <c r="L44" s="15">
        <f t="shared" si="4"/>
        <v>20</v>
      </c>
      <c r="M44" s="15">
        <f t="shared" si="5"/>
        <v>2</v>
      </c>
      <c r="N44" s="16">
        <f t="shared" si="6"/>
        <v>4755.344</v>
      </c>
      <c r="O44" s="16">
        <f t="shared" si="7"/>
        <v>1188.836</v>
      </c>
      <c r="P44" s="17" t="str">
        <f t="shared" si="8"/>
        <v>2025_1</v>
      </c>
      <c r="Q44" s="17" t="str">
        <f t="shared" si="9"/>
        <v>VIP</v>
      </c>
    </row>
    <row r="45" ht="22.5" customHeight="1">
      <c r="A45" s="9">
        <v>45709.0</v>
      </c>
      <c r="B45" s="10">
        <v>2961.0</v>
      </c>
      <c r="C45" s="11" t="s">
        <v>181</v>
      </c>
      <c r="D45" s="11" t="s">
        <v>27</v>
      </c>
      <c r="E45" s="11" t="s">
        <v>28</v>
      </c>
      <c r="F45" s="11" t="s">
        <v>50</v>
      </c>
      <c r="G45" s="12">
        <v>10.0</v>
      </c>
      <c r="H45" s="13">
        <v>1869.88</v>
      </c>
      <c r="I45" s="14">
        <f t="shared" si="1"/>
        <v>18698.8</v>
      </c>
      <c r="J45" s="15">
        <f t="shared" si="2"/>
        <v>2025</v>
      </c>
      <c r="K45" s="15">
        <f t="shared" si="3"/>
        <v>2</v>
      </c>
      <c r="L45" s="15">
        <f t="shared" si="4"/>
        <v>21</v>
      </c>
      <c r="M45" s="15">
        <f t="shared" si="5"/>
        <v>6</v>
      </c>
      <c r="N45" s="16">
        <f t="shared" si="6"/>
        <v>7479.52</v>
      </c>
      <c r="O45" s="16">
        <f t="shared" si="7"/>
        <v>1869.88</v>
      </c>
      <c r="P45" s="17" t="str">
        <f t="shared" si="8"/>
        <v>2025_2</v>
      </c>
      <c r="Q45" s="17" t="str">
        <f t="shared" si="9"/>
        <v>VIP</v>
      </c>
    </row>
    <row r="46" ht="22.5" customHeight="1">
      <c r="A46" s="9">
        <v>45737.0</v>
      </c>
      <c r="B46" s="10">
        <v>6397.0</v>
      </c>
      <c r="C46" s="11" t="s">
        <v>184</v>
      </c>
      <c r="D46" s="11" t="s">
        <v>22</v>
      </c>
      <c r="E46" s="11" t="s">
        <v>28</v>
      </c>
      <c r="F46" s="11" t="s">
        <v>48</v>
      </c>
      <c r="G46" s="12">
        <v>10.0</v>
      </c>
      <c r="H46" s="13">
        <v>2557.5</v>
      </c>
      <c r="I46" s="14">
        <f t="shared" si="1"/>
        <v>25575</v>
      </c>
      <c r="J46" s="15">
        <f t="shared" si="2"/>
        <v>2025</v>
      </c>
      <c r="K46" s="15">
        <f t="shared" si="3"/>
        <v>3</v>
      </c>
      <c r="L46" s="15">
        <f t="shared" si="4"/>
        <v>21</v>
      </c>
      <c r="M46" s="15">
        <f t="shared" si="5"/>
        <v>6</v>
      </c>
      <c r="N46" s="16">
        <f t="shared" si="6"/>
        <v>10230</v>
      </c>
      <c r="O46" s="16">
        <f t="shared" si="7"/>
        <v>2557.5</v>
      </c>
      <c r="P46" s="17" t="str">
        <f t="shared" si="8"/>
        <v>2025_3</v>
      </c>
      <c r="Q46" s="17" t="str">
        <f t="shared" si="9"/>
        <v>VIP</v>
      </c>
    </row>
    <row r="47" ht="22.5" customHeight="1">
      <c r="A47" s="9">
        <v>45710.0</v>
      </c>
      <c r="B47" s="10">
        <v>7054.0</v>
      </c>
      <c r="C47" s="11" t="s">
        <v>190</v>
      </c>
      <c r="D47" s="11" t="s">
        <v>37</v>
      </c>
      <c r="E47" s="11" t="s">
        <v>23</v>
      </c>
      <c r="F47" s="11" t="s">
        <v>52</v>
      </c>
      <c r="G47" s="12">
        <v>7.0</v>
      </c>
      <c r="H47" s="13">
        <v>1826.29</v>
      </c>
      <c r="I47" s="14">
        <f t="shared" si="1"/>
        <v>12784.03</v>
      </c>
      <c r="J47" s="15">
        <f t="shared" si="2"/>
        <v>2025</v>
      </c>
      <c r="K47" s="15">
        <f t="shared" si="3"/>
        <v>2</v>
      </c>
      <c r="L47" s="15">
        <f t="shared" si="4"/>
        <v>22</v>
      </c>
      <c r="M47" s="15">
        <f t="shared" si="5"/>
        <v>7</v>
      </c>
      <c r="N47" s="16">
        <f t="shared" si="6"/>
        <v>5113.612</v>
      </c>
      <c r="O47" s="16">
        <f t="shared" si="7"/>
        <v>1278.403</v>
      </c>
      <c r="P47" s="17" t="str">
        <f t="shared" si="8"/>
        <v>2025_2</v>
      </c>
      <c r="Q47" s="17" t="str">
        <f t="shared" si="9"/>
        <v>VIP</v>
      </c>
    </row>
    <row r="48" ht="22.5" customHeight="1">
      <c r="A48" s="9">
        <v>45710.0</v>
      </c>
      <c r="B48" s="10">
        <v>4323.0</v>
      </c>
      <c r="C48" s="11" t="s">
        <v>191</v>
      </c>
      <c r="D48" s="11" t="s">
        <v>27</v>
      </c>
      <c r="E48" s="11" t="s">
        <v>28</v>
      </c>
      <c r="F48" s="11" t="s">
        <v>98</v>
      </c>
      <c r="G48" s="12">
        <v>6.0</v>
      </c>
      <c r="H48" s="13">
        <v>2889.42</v>
      </c>
      <c r="I48" s="14">
        <f t="shared" si="1"/>
        <v>17336.52</v>
      </c>
      <c r="J48" s="15">
        <f t="shared" si="2"/>
        <v>2025</v>
      </c>
      <c r="K48" s="15">
        <f t="shared" si="3"/>
        <v>2</v>
      </c>
      <c r="L48" s="15">
        <f t="shared" si="4"/>
        <v>22</v>
      </c>
      <c r="M48" s="15">
        <f t="shared" si="5"/>
        <v>7</v>
      </c>
      <c r="N48" s="16">
        <f t="shared" si="6"/>
        <v>6934.608</v>
      </c>
      <c r="O48" s="16">
        <f t="shared" si="7"/>
        <v>1733.652</v>
      </c>
      <c r="P48" s="17" t="str">
        <f t="shared" si="8"/>
        <v>2025_2</v>
      </c>
      <c r="Q48" s="17" t="str">
        <f t="shared" si="9"/>
        <v>VIP</v>
      </c>
    </row>
    <row r="49" ht="22.5" customHeight="1">
      <c r="A49" s="9">
        <v>45648.0</v>
      </c>
      <c r="B49" s="10">
        <v>1138.0</v>
      </c>
      <c r="C49" s="11" t="s">
        <v>195</v>
      </c>
      <c r="D49" s="11" t="s">
        <v>27</v>
      </c>
      <c r="E49" s="11" t="s">
        <v>28</v>
      </c>
      <c r="F49" s="11" t="s">
        <v>48</v>
      </c>
      <c r="G49" s="12">
        <v>10.0</v>
      </c>
      <c r="H49" s="13">
        <v>1101.76</v>
      </c>
      <c r="I49" s="14">
        <f t="shared" si="1"/>
        <v>11017.6</v>
      </c>
      <c r="J49" s="15">
        <f t="shared" si="2"/>
        <v>2024</v>
      </c>
      <c r="K49" s="15">
        <f t="shared" si="3"/>
        <v>12</v>
      </c>
      <c r="L49" s="15">
        <f t="shared" si="4"/>
        <v>22</v>
      </c>
      <c r="M49" s="15">
        <f t="shared" si="5"/>
        <v>1</v>
      </c>
      <c r="N49" s="16">
        <f t="shared" si="6"/>
        <v>4407.04</v>
      </c>
      <c r="O49" s="16">
        <f t="shared" si="7"/>
        <v>1101.76</v>
      </c>
      <c r="P49" s="17" t="str">
        <f t="shared" si="8"/>
        <v>2024_12</v>
      </c>
      <c r="Q49" s="17" t="str">
        <f t="shared" si="9"/>
        <v>VIP</v>
      </c>
    </row>
    <row r="50" ht="22.5" customHeight="1">
      <c r="A50" s="9">
        <v>45680.0</v>
      </c>
      <c r="B50" s="10">
        <v>8924.0</v>
      </c>
      <c r="C50" s="11" t="s">
        <v>197</v>
      </c>
      <c r="D50" s="11" t="s">
        <v>37</v>
      </c>
      <c r="E50" s="11" t="s">
        <v>23</v>
      </c>
      <c r="F50" s="11" t="s">
        <v>52</v>
      </c>
      <c r="G50" s="12">
        <v>9.0</v>
      </c>
      <c r="H50" s="13">
        <v>1570.37</v>
      </c>
      <c r="I50" s="14">
        <f t="shared" si="1"/>
        <v>14133.33</v>
      </c>
      <c r="J50" s="15">
        <f t="shared" si="2"/>
        <v>2025</v>
      </c>
      <c r="K50" s="15">
        <f t="shared" si="3"/>
        <v>1</v>
      </c>
      <c r="L50" s="15">
        <f t="shared" si="4"/>
        <v>23</v>
      </c>
      <c r="M50" s="15">
        <f t="shared" si="5"/>
        <v>5</v>
      </c>
      <c r="N50" s="16">
        <f t="shared" si="6"/>
        <v>5653.332</v>
      </c>
      <c r="O50" s="16">
        <f t="shared" si="7"/>
        <v>1413.333</v>
      </c>
      <c r="P50" s="17" t="str">
        <f t="shared" si="8"/>
        <v>2025_1</v>
      </c>
      <c r="Q50" s="17" t="str">
        <f t="shared" si="9"/>
        <v>VIP</v>
      </c>
    </row>
    <row r="51" ht="22.5" customHeight="1">
      <c r="A51" s="9">
        <v>45680.0</v>
      </c>
      <c r="B51" s="10">
        <v>3228.0</v>
      </c>
      <c r="C51" s="11" t="s">
        <v>199</v>
      </c>
      <c r="D51" s="11" t="s">
        <v>43</v>
      </c>
      <c r="E51" s="11" t="s">
        <v>28</v>
      </c>
      <c r="F51" s="11" t="s">
        <v>76</v>
      </c>
      <c r="G51" s="12">
        <v>8.0</v>
      </c>
      <c r="H51" s="13">
        <v>1407.58</v>
      </c>
      <c r="I51" s="14">
        <f t="shared" si="1"/>
        <v>11260.64</v>
      </c>
      <c r="J51" s="15">
        <f t="shared" si="2"/>
        <v>2025</v>
      </c>
      <c r="K51" s="15">
        <f t="shared" si="3"/>
        <v>1</v>
      </c>
      <c r="L51" s="15">
        <f t="shared" si="4"/>
        <v>23</v>
      </c>
      <c r="M51" s="15">
        <f t="shared" si="5"/>
        <v>5</v>
      </c>
      <c r="N51" s="16">
        <f t="shared" si="6"/>
        <v>4504.256</v>
      </c>
      <c r="O51" s="16">
        <f t="shared" si="7"/>
        <v>1126.064</v>
      </c>
      <c r="P51" s="17" t="str">
        <f t="shared" si="8"/>
        <v>2025_1</v>
      </c>
      <c r="Q51" s="17" t="str">
        <f t="shared" si="9"/>
        <v>VIP</v>
      </c>
    </row>
    <row r="52" ht="22.5" customHeight="1">
      <c r="A52" s="9">
        <v>45711.0</v>
      </c>
      <c r="B52" s="10">
        <v>1215.0</v>
      </c>
      <c r="C52" s="11" t="s">
        <v>200</v>
      </c>
      <c r="D52" s="11" t="s">
        <v>37</v>
      </c>
      <c r="E52" s="11" t="s">
        <v>32</v>
      </c>
      <c r="F52" s="11" t="s">
        <v>78</v>
      </c>
      <c r="G52" s="12">
        <v>8.0</v>
      </c>
      <c r="H52" s="13">
        <v>1905.04</v>
      </c>
      <c r="I52" s="14">
        <f t="shared" si="1"/>
        <v>15240.32</v>
      </c>
      <c r="J52" s="15">
        <f t="shared" si="2"/>
        <v>2025</v>
      </c>
      <c r="K52" s="15">
        <f t="shared" si="3"/>
        <v>2</v>
      </c>
      <c r="L52" s="15">
        <f t="shared" si="4"/>
        <v>23</v>
      </c>
      <c r="M52" s="15">
        <f t="shared" si="5"/>
        <v>1</v>
      </c>
      <c r="N52" s="16">
        <f t="shared" si="6"/>
        <v>6096.128</v>
      </c>
      <c r="O52" s="16">
        <f t="shared" si="7"/>
        <v>1524.032</v>
      </c>
      <c r="P52" s="17" t="str">
        <f t="shared" si="8"/>
        <v>2025_2</v>
      </c>
      <c r="Q52" s="17" t="str">
        <f t="shared" si="9"/>
        <v>VIP</v>
      </c>
    </row>
    <row r="53" ht="22.5" customHeight="1">
      <c r="A53" s="9">
        <v>45649.0</v>
      </c>
      <c r="B53" s="10">
        <v>7453.0</v>
      </c>
      <c r="C53" s="11" t="s">
        <v>202</v>
      </c>
      <c r="D53" s="11" t="s">
        <v>31</v>
      </c>
      <c r="E53" s="11" t="s">
        <v>23</v>
      </c>
      <c r="F53" s="11" t="s">
        <v>80</v>
      </c>
      <c r="G53" s="12">
        <v>10.0</v>
      </c>
      <c r="H53" s="13">
        <v>1058.38</v>
      </c>
      <c r="I53" s="14">
        <f t="shared" si="1"/>
        <v>10583.8</v>
      </c>
      <c r="J53" s="15">
        <f t="shared" si="2"/>
        <v>2024</v>
      </c>
      <c r="K53" s="15">
        <f t="shared" si="3"/>
        <v>12</v>
      </c>
      <c r="L53" s="15">
        <f t="shared" si="4"/>
        <v>23</v>
      </c>
      <c r="M53" s="15">
        <f t="shared" si="5"/>
        <v>2</v>
      </c>
      <c r="N53" s="16">
        <f t="shared" si="6"/>
        <v>4233.52</v>
      </c>
      <c r="O53" s="16">
        <f t="shared" si="7"/>
        <v>1058.38</v>
      </c>
      <c r="P53" s="17" t="str">
        <f t="shared" si="8"/>
        <v>2024_12</v>
      </c>
      <c r="Q53" s="17" t="str">
        <f t="shared" si="9"/>
        <v>VIP</v>
      </c>
    </row>
    <row r="54" ht="22.5" customHeight="1">
      <c r="A54" s="9">
        <v>45712.0</v>
      </c>
      <c r="B54" s="10">
        <v>6078.0</v>
      </c>
      <c r="C54" s="11" t="s">
        <v>205</v>
      </c>
      <c r="D54" s="11" t="s">
        <v>31</v>
      </c>
      <c r="E54" s="11" t="s">
        <v>28</v>
      </c>
      <c r="F54" s="11" t="s">
        <v>48</v>
      </c>
      <c r="G54" s="12">
        <v>8.0</v>
      </c>
      <c r="H54" s="13">
        <v>1491.66</v>
      </c>
      <c r="I54" s="14">
        <f t="shared" si="1"/>
        <v>11933.28</v>
      </c>
      <c r="J54" s="15">
        <f t="shared" si="2"/>
        <v>2025</v>
      </c>
      <c r="K54" s="15">
        <f t="shared" si="3"/>
        <v>2</v>
      </c>
      <c r="L54" s="15">
        <f t="shared" si="4"/>
        <v>24</v>
      </c>
      <c r="M54" s="15">
        <f t="shared" si="5"/>
        <v>2</v>
      </c>
      <c r="N54" s="16">
        <f t="shared" si="6"/>
        <v>4773.312</v>
      </c>
      <c r="O54" s="16">
        <f t="shared" si="7"/>
        <v>1193.328</v>
      </c>
      <c r="P54" s="17" t="str">
        <f t="shared" si="8"/>
        <v>2025_2</v>
      </c>
      <c r="Q54" s="17" t="str">
        <f t="shared" si="9"/>
        <v>VIP</v>
      </c>
    </row>
    <row r="55" ht="22.5" customHeight="1">
      <c r="A55" s="9">
        <v>45771.0</v>
      </c>
      <c r="B55" s="10">
        <v>4340.0</v>
      </c>
      <c r="C55" s="11" t="s">
        <v>207</v>
      </c>
      <c r="D55" s="11" t="s">
        <v>43</v>
      </c>
      <c r="E55" s="11" t="s">
        <v>19</v>
      </c>
      <c r="F55" s="11" t="s">
        <v>46</v>
      </c>
      <c r="G55" s="12">
        <v>8.0</v>
      </c>
      <c r="H55" s="13">
        <v>2772.87</v>
      </c>
      <c r="I55" s="14">
        <f t="shared" si="1"/>
        <v>22182.96</v>
      </c>
      <c r="J55" s="15">
        <f t="shared" si="2"/>
        <v>2025</v>
      </c>
      <c r="K55" s="15">
        <f t="shared" si="3"/>
        <v>4</v>
      </c>
      <c r="L55" s="15">
        <f t="shared" si="4"/>
        <v>24</v>
      </c>
      <c r="M55" s="15">
        <f t="shared" si="5"/>
        <v>5</v>
      </c>
      <c r="N55" s="16">
        <f t="shared" si="6"/>
        <v>8873.184</v>
      </c>
      <c r="O55" s="16">
        <f t="shared" si="7"/>
        <v>2218.296</v>
      </c>
      <c r="P55" s="17" t="str">
        <f t="shared" si="8"/>
        <v>2025_4</v>
      </c>
      <c r="Q55" s="17" t="str">
        <f t="shared" si="9"/>
        <v>VIP</v>
      </c>
    </row>
    <row r="56" ht="22.5" customHeight="1">
      <c r="A56" s="9">
        <v>45801.0</v>
      </c>
      <c r="B56" s="10">
        <v>6352.0</v>
      </c>
      <c r="C56" s="11" t="s">
        <v>208</v>
      </c>
      <c r="D56" s="11" t="s">
        <v>27</v>
      </c>
      <c r="E56" s="11" t="s">
        <v>38</v>
      </c>
      <c r="F56" s="11" t="s">
        <v>54</v>
      </c>
      <c r="G56" s="12">
        <v>10.0</v>
      </c>
      <c r="H56" s="13">
        <v>2350.7</v>
      </c>
      <c r="I56" s="14">
        <f t="shared" si="1"/>
        <v>23507</v>
      </c>
      <c r="J56" s="15">
        <f t="shared" si="2"/>
        <v>2025</v>
      </c>
      <c r="K56" s="15">
        <f t="shared" si="3"/>
        <v>5</v>
      </c>
      <c r="L56" s="15">
        <f t="shared" si="4"/>
        <v>24</v>
      </c>
      <c r="M56" s="15">
        <f t="shared" si="5"/>
        <v>7</v>
      </c>
      <c r="N56" s="16">
        <f t="shared" si="6"/>
        <v>9402.8</v>
      </c>
      <c r="O56" s="16">
        <f t="shared" si="7"/>
        <v>2350.7</v>
      </c>
      <c r="P56" s="17" t="str">
        <f t="shared" si="8"/>
        <v>2025_5</v>
      </c>
      <c r="Q56" s="17" t="str">
        <f t="shared" si="9"/>
        <v>VIP</v>
      </c>
    </row>
    <row r="57" ht="22.5" customHeight="1">
      <c r="A57" s="9">
        <v>45682.0</v>
      </c>
      <c r="B57" s="10">
        <v>5784.0</v>
      </c>
      <c r="C57" s="11" t="s">
        <v>210</v>
      </c>
      <c r="D57" s="11" t="s">
        <v>22</v>
      </c>
      <c r="E57" s="11" t="s">
        <v>32</v>
      </c>
      <c r="F57" s="11" t="s">
        <v>85</v>
      </c>
      <c r="G57" s="12">
        <v>8.0</v>
      </c>
      <c r="H57" s="13">
        <v>2378.06</v>
      </c>
      <c r="I57" s="14">
        <f t="shared" si="1"/>
        <v>19024.48</v>
      </c>
      <c r="J57" s="15">
        <f t="shared" si="2"/>
        <v>2025</v>
      </c>
      <c r="K57" s="15">
        <f t="shared" si="3"/>
        <v>1</v>
      </c>
      <c r="L57" s="15">
        <f t="shared" si="4"/>
        <v>25</v>
      </c>
      <c r="M57" s="15">
        <f t="shared" si="5"/>
        <v>7</v>
      </c>
      <c r="N57" s="16">
        <f t="shared" si="6"/>
        <v>7609.792</v>
      </c>
      <c r="O57" s="16">
        <f t="shared" si="7"/>
        <v>1902.448</v>
      </c>
      <c r="P57" s="17" t="str">
        <f t="shared" si="8"/>
        <v>2025_1</v>
      </c>
      <c r="Q57" s="17" t="str">
        <f t="shared" si="9"/>
        <v>VIP</v>
      </c>
    </row>
    <row r="58" ht="22.5" customHeight="1">
      <c r="A58" s="9">
        <v>45741.0</v>
      </c>
      <c r="B58" s="10">
        <v>1619.0</v>
      </c>
      <c r="C58" s="11" t="s">
        <v>212</v>
      </c>
      <c r="D58" s="11" t="s">
        <v>18</v>
      </c>
      <c r="E58" s="11" t="s">
        <v>32</v>
      </c>
      <c r="F58" s="11" t="s">
        <v>33</v>
      </c>
      <c r="G58" s="12">
        <v>10.0</v>
      </c>
      <c r="H58" s="13">
        <v>1588.87</v>
      </c>
      <c r="I58" s="14">
        <f t="shared" si="1"/>
        <v>15888.7</v>
      </c>
      <c r="J58" s="15">
        <f t="shared" si="2"/>
        <v>2025</v>
      </c>
      <c r="K58" s="15">
        <f t="shared" si="3"/>
        <v>3</v>
      </c>
      <c r="L58" s="15">
        <f t="shared" si="4"/>
        <v>25</v>
      </c>
      <c r="M58" s="15">
        <f t="shared" si="5"/>
        <v>3</v>
      </c>
      <c r="N58" s="16">
        <f t="shared" si="6"/>
        <v>6355.48</v>
      </c>
      <c r="O58" s="16">
        <f t="shared" si="7"/>
        <v>1588.87</v>
      </c>
      <c r="P58" s="17" t="str">
        <f t="shared" si="8"/>
        <v>2025_3</v>
      </c>
      <c r="Q58" s="17" t="str">
        <f t="shared" si="9"/>
        <v>VIP</v>
      </c>
    </row>
    <row r="59" ht="22.5" customHeight="1">
      <c r="A59" s="9">
        <v>45772.0</v>
      </c>
      <c r="B59" s="10">
        <v>3831.0</v>
      </c>
      <c r="C59" s="11" t="s">
        <v>213</v>
      </c>
      <c r="D59" s="11" t="s">
        <v>18</v>
      </c>
      <c r="E59" s="11" t="s">
        <v>32</v>
      </c>
      <c r="F59" s="11" t="s">
        <v>56</v>
      </c>
      <c r="G59" s="12">
        <v>6.0</v>
      </c>
      <c r="H59" s="13">
        <v>2364.33</v>
      </c>
      <c r="I59" s="14">
        <f t="shared" si="1"/>
        <v>14185.98</v>
      </c>
      <c r="J59" s="15">
        <f t="shared" si="2"/>
        <v>2025</v>
      </c>
      <c r="K59" s="15">
        <f t="shared" si="3"/>
        <v>4</v>
      </c>
      <c r="L59" s="15">
        <f t="shared" si="4"/>
        <v>25</v>
      </c>
      <c r="M59" s="15">
        <f t="shared" si="5"/>
        <v>6</v>
      </c>
      <c r="N59" s="16">
        <f t="shared" si="6"/>
        <v>5674.392</v>
      </c>
      <c r="O59" s="16">
        <f t="shared" si="7"/>
        <v>1418.598</v>
      </c>
      <c r="P59" s="17" t="str">
        <f t="shared" si="8"/>
        <v>2025_4</v>
      </c>
      <c r="Q59" s="17" t="str">
        <f t="shared" si="9"/>
        <v>VIP</v>
      </c>
    </row>
    <row r="60" ht="22.5" customHeight="1">
      <c r="A60" s="9">
        <v>45651.0</v>
      </c>
      <c r="B60" s="10">
        <v>7341.0</v>
      </c>
      <c r="C60" s="11" t="s">
        <v>215</v>
      </c>
      <c r="D60" s="11" t="s">
        <v>27</v>
      </c>
      <c r="E60" s="11" t="s">
        <v>23</v>
      </c>
      <c r="F60" s="11" t="s">
        <v>52</v>
      </c>
      <c r="G60" s="12">
        <v>9.0</v>
      </c>
      <c r="H60" s="13">
        <v>1385.18</v>
      </c>
      <c r="I60" s="14">
        <f t="shared" si="1"/>
        <v>12466.62</v>
      </c>
      <c r="J60" s="15">
        <f t="shared" si="2"/>
        <v>2024</v>
      </c>
      <c r="K60" s="15">
        <f t="shared" si="3"/>
        <v>12</v>
      </c>
      <c r="L60" s="15">
        <f t="shared" si="4"/>
        <v>25</v>
      </c>
      <c r="M60" s="15">
        <f t="shared" si="5"/>
        <v>4</v>
      </c>
      <c r="N60" s="16">
        <f t="shared" si="6"/>
        <v>4986.648</v>
      </c>
      <c r="O60" s="16">
        <f t="shared" si="7"/>
        <v>1246.662</v>
      </c>
      <c r="P60" s="17" t="str">
        <f t="shared" si="8"/>
        <v>2024_12</v>
      </c>
      <c r="Q60" s="17" t="str">
        <f t="shared" si="9"/>
        <v>VIP</v>
      </c>
    </row>
    <row r="61" ht="22.5" customHeight="1">
      <c r="A61" s="9">
        <v>45683.0</v>
      </c>
      <c r="B61" s="10">
        <v>2132.0</v>
      </c>
      <c r="C61" s="11" t="s">
        <v>217</v>
      </c>
      <c r="D61" s="11" t="s">
        <v>18</v>
      </c>
      <c r="E61" s="11" t="s">
        <v>23</v>
      </c>
      <c r="F61" s="11" t="s">
        <v>125</v>
      </c>
      <c r="G61" s="12">
        <v>6.0</v>
      </c>
      <c r="H61" s="13">
        <v>2597.6</v>
      </c>
      <c r="I61" s="14">
        <f t="shared" si="1"/>
        <v>15585.6</v>
      </c>
      <c r="J61" s="15">
        <f t="shared" si="2"/>
        <v>2025</v>
      </c>
      <c r="K61" s="15">
        <f t="shared" si="3"/>
        <v>1</v>
      </c>
      <c r="L61" s="15">
        <f t="shared" si="4"/>
        <v>26</v>
      </c>
      <c r="M61" s="15">
        <f t="shared" si="5"/>
        <v>1</v>
      </c>
      <c r="N61" s="16">
        <f t="shared" si="6"/>
        <v>6234.24</v>
      </c>
      <c r="O61" s="16">
        <f t="shared" si="7"/>
        <v>1558.56</v>
      </c>
      <c r="P61" s="17" t="str">
        <f t="shared" si="8"/>
        <v>2025_1</v>
      </c>
      <c r="Q61" s="17" t="str">
        <f t="shared" si="9"/>
        <v>VIP</v>
      </c>
    </row>
    <row r="62" ht="22.5" customHeight="1">
      <c r="A62" s="9">
        <v>45804.0</v>
      </c>
      <c r="B62" s="10">
        <v>2903.0</v>
      </c>
      <c r="C62" s="11" t="s">
        <v>227</v>
      </c>
      <c r="D62" s="11" t="s">
        <v>27</v>
      </c>
      <c r="E62" s="11" t="s">
        <v>28</v>
      </c>
      <c r="F62" s="11" t="s">
        <v>48</v>
      </c>
      <c r="G62" s="12">
        <v>9.0</v>
      </c>
      <c r="H62" s="13">
        <v>1955.2</v>
      </c>
      <c r="I62" s="14">
        <f t="shared" si="1"/>
        <v>17596.8</v>
      </c>
      <c r="J62" s="15">
        <f t="shared" si="2"/>
        <v>2025</v>
      </c>
      <c r="K62" s="15">
        <f t="shared" si="3"/>
        <v>5</v>
      </c>
      <c r="L62" s="15">
        <f t="shared" si="4"/>
        <v>27</v>
      </c>
      <c r="M62" s="15">
        <f t="shared" si="5"/>
        <v>3</v>
      </c>
      <c r="N62" s="16">
        <f t="shared" si="6"/>
        <v>7038.72</v>
      </c>
      <c r="O62" s="16">
        <f t="shared" si="7"/>
        <v>1759.68</v>
      </c>
      <c r="P62" s="17" t="str">
        <f t="shared" si="8"/>
        <v>2025_5</v>
      </c>
      <c r="Q62" s="17" t="str">
        <f t="shared" si="9"/>
        <v>VIP</v>
      </c>
    </row>
    <row r="63" ht="22.5" customHeight="1">
      <c r="A63" s="9">
        <v>45804.0</v>
      </c>
      <c r="B63" s="10">
        <v>4776.0</v>
      </c>
      <c r="C63" s="11" t="s">
        <v>228</v>
      </c>
      <c r="D63" s="11" t="s">
        <v>43</v>
      </c>
      <c r="E63" s="11" t="s">
        <v>28</v>
      </c>
      <c r="F63" s="11" t="s">
        <v>29</v>
      </c>
      <c r="G63" s="12">
        <v>10.0</v>
      </c>
      <c r="H63" s="13">
        <v>1081.36</v>
      </c>
      <c r="I63" s="14">
        <f t="shared" si="1"/>
        <v>10813.6</v>
      </c>
      <c r="J63" s="15">
        <f t="shared" si="2"/>
        <v>2025</v>
      </c>
      <c r="K63" s="15">
        <f t="shared" si="3"/>
        <v>5</v>
      </c>
      <c r="L63" s="15">
        <f t="shared" si="4"/>
        <v>27</v>
      </c>
      <c r="M63" s="15">
        <f t="shared" si="5"/>
        <v>3</v>
      </c>
      <c r="N63" s="16">
        <f t="shared" si="6"/>
        <v>4325.44</v>
      </c>
      <c r="O63" s="16">
        <f t="shared" si="7"/>
        <v>1081.36</v>
      </c>
      <c r="P63" s="17" t="str">
        <f t="shared" si="8"/>
        <v>2025_5</v>
      </c>
      <c r="Q63" s="17" t="str">
        <f t="shared" si="9"/>
        <v>VIP</v>
      </c>
    </row>
    <row r="64" ht="22.5" customHeight="1">
      <c r="A64" s="9">
        <v>45653.0</v>
      </c>
      <c r="B64" s="10">
        <v>2340.0</v>
      </c>
      <c r="C64" s="11" t="s">
        <v>230</v>
      </c>
      <c r="D64" s="11" t="s">
        <v>22</v>
      </c>
      <c r="E64" s="11" t="s">
        <v>32</v>
      </c>
      <c r="F64" s="11" t="s">
        <v>78</v>
      </c>
      <c r="G64" s="12">
        <v>9.0</v>
      </c>
      <c r="H64" s="13">
        <v>1770.78</v>
      </c>
      <c r="I64" s="14">
        <f t="shared" si="1"/>
        <v>15937.02</v>
      </c>
      <c r="J64" s="15">
        <f t="shared" si="2"/>
        <v>2024</v>
      </c>
      <c r="K64" s="15">
        <f t="shared" si="3"/>
        <v>12</v>
      </c>
      <c r="L64" s="15">
        <f t="shared" si="4"/>
        <v>27</v>
      </c>
      <c r="M64" s="15">
        <f t="shared" si="5"/>
        <v>6</v>
      </c>
      <c r="N64" s="16">
        <f t="shared" si="6"/>
        <v>6374.808</v>
      </c>
      <c r="O64" s="16">
        <f t="shared" si="7"/>
        <v>1593.702</v>
      </c>
      <c r="P64" s="17" t="str">
        <f t="shared" si="8"/>
        <v>2024_12</v>
      </c>
      <c r="Q64" s="17" t="str">
        <f t="shared" si="9"/>
        <v>VIP</v>
      </c>
    </row>
    <row r="65" ht="22.5" customHeight="1">
      <c r="A65" s="9">
        <v>45653.0</v>
      </c>
      <c r="B65" s="10">
        <v>6901.0</v>
      </c>
      <c r="C65" s="11" t="s">
        <v>231</v>
      </c>
      <c r="D65" s="11" t="s">
        <v>43</v>
      </c>
      <c r="E65" s="11" t="s">
        <v>38</v>
      </c>
      <c r="F65" s="11" t="s">
        <v>68</v>
      </c>
      <c r="G65" s="12">
        <v>9.0</v>
      </c>
      <c r="H65" s="13">
        <v>1839.57</v>
      </c>
      <c r="I65" s="14">
        <f t="shared" si="1"/>
        <v>16556.13</v>
      </c>
      <c r="J65" s="15">
        <f t="shared" si="2"/>
        <v>2024</v>
      </c>
      <c r="K65" s="15">
        <f t="shared" si="3"/>
        <v>12</v>
      </c>
      <c r="L65" s="15">
        <f t="shared" si="4"/>
        <v>27</v>
      </c>
      <c r="M65" s="15">
        <f t="shared" si="5"/>
        <v>6</v>
      </c>
      <c r="N65" s="16">
        <f t="shared" si="6"/>
        <v>6622.452</v>
      </c>
      <c r="O65" s="16">
        <f t="shared" si="7"/>
        <v>1655.613</v>
      </c>
      <c r="P65" s="17" t="str">
        <f t="shared" si="8"/>
        <v>2024_12</v>
      </c>
      <c r="Q65" s="17" t="str">
        <f t="shared" si="9"/>
        <v>VIP</v>
      </c>
    </row>
    <row r="66" ht="22.5" customHeight="1">
      <c r="A66" s="9">
        <v>45685.0</v>
      </c>
      <c r="B66" s="10">
        <v>2229.0</v>
      </c>
      <c r="C66" s="11" t="s">
        <v>232</v>
      </c>
      <c r="D66" s="11" t="s">
        <v>43</v>
      </c>
      <c r="E66" s="11" t="s">
        <v>23</v>
      </c>
      <c r="F66" s="11" t="s">
        <v>52</v>
      </c>
      <c r="G66" s="12">
        <v>6.0</v>
      </c>
      <c r="H66" s="13">
        <v>2273.92</v>
      </c>
      <c r="I66" s="14">
        <f t="shared" si="1"/>
        <v>13643.52</v>
      </c>
      <c r="J66" s="15">
        <f t="shared" si="2"/>
        <v>2025</v>
      </c>
      <c r="K66" s="15">
        <f t="shared" si="3"/>
        <v>1</v>
      </c>
      <c r="L66" s="15">
        <f t="shared" si="4"/>
        <v>28</v>
      </c>
      <c r="M66" s="15">
        <f t="shared" si="5"/>
        <v>3</v>
      </c>
      <c r="N66" s="16">
        <f t="shared" si="6"/>
        <v>5457.408</v>
      </c>
      <c r="O66" s="16">
        <f t="shared" si="7"/>
        <v>1364.352</v>
      </c>
      <c r="P66" s="17" t="str">
        <f t="shared" si="8"/>
        <v>2025_1</v>
      </c>
      <c r="Q66" s="17" t="str">
        <f t="shared" si="9"/>
        <v>VIP</v>
      </c>
    </row>
    <row r="67" ht="22.5" customHeight="1">
      <c r="A67" s="9">
        <v>45716.0</v>
      </c>
      <c r="B67" s="10">
        <v>2628.0</v>
      </c>
      <c r="C67" s="11" t="s">
        <v>233</v>
      </c>
      <c r="D67" s="11" t="s">
        <v>18</v>
      </c>
      <c r="E67" s="11" t="s">
        <v>28</v>
      </c>
      <c r="F67" s="11" t="s">
        <v>48</v>
      </c>
      <c r="G67" s="12">
        <v>7.0</v>
      </c>
      <c r="H67" s="13">
        <v>1970.61</v>
      </c>
      <c r="I67" s="14">
        <f t="shared" si="1"/>
        <v>13794.27</v>
      </c>
      <c r="J67" s="15">
        <f t="shared" si="2"/>
        <v>2025</v>
      </c>
      <c r="K67" s="15">
        <f t="shared" si="3"/>
        <v>2</v>
      </c>
      <c r="L67" s="15">
        <f t="shared" si="4"/>
        <v>28</v>
      </c>
      <c r="M67" s="15">
        <f t="shared" si="5"/>
        <v>6</v>
      </c>
      <c r="N67" s="16">
        <f t="shared" si="6"/>
        <v>5517.708</v>
      </c>
      <c r="O67" s="16">
        <f t="shared" si="7"/>
        <v>1379.427</v>
      </c>
      <c r="P67" s="17" t="str">
        <f t="shared" si="8"/>
        <v>2025_2</v>
      </c>
      <c r="Q67" s="17" t="str">
        <f t="shared" si="9"/>
        <v>VIP</v>
      </c>
    </row>
    <row r="68" ht="22.5" customHeight="1">
      <c r="A68" s="9">
        <v>45716.0</v>
      </c>
      <c r="B68" s="10">
        <v>7951.0</v>
      </c>
      <c r="C68" s="11" t="s">
        <v>234</v>
      </c>
      <c r="D68" s="11" t="s">
        <v>43</v>
      </c>
      <c r="E68" s="11" t="s">
        <v>23</v>
      </c>
      <c r="F68" s="11" t="s">
        <v>52</v>
      </c>
      <c r="G68" s="12">
        <v>9.0</v>
      </c>
      <c r="H68" s="13">
        <v>2722.7</v>
      </c>
      <c r="I68" s="14">
        <f t="shared" si="1"/>
        <v>24504.3</v>
      </c>
      <c r="J68" s="15">
        <f t="shared" si="2"/>
        <v>2025</v>
      </c>
      <c r="K68" s="15">
        <f t="shared" si="3"/>
        <v>2</v>
      </c>
      <c r="L68" s="15">
        <f t="shared" si="4"/>
        <v>28</v>
      </c>
      <c r="M68" s="15">
        <f t="shared" si="5"/>
        <v>6</v>
      </c>
      <c r="N68" s="16">
        <f t="shared" si="6"/>
        <v>9801.72</v>
      </c>
      <c r="O68" s="16">
        <f t="shared" si="7"/>
        <v>2450.43</v>
      </c>
      <c r="P68" s="17" t="str">
        <f t="shared" si="8"/>
        <v>2025_2</v>
      </c>
      <c r="Q68" s="17" t="str">
        <f t="shared" si="9"/>
        <v>VIP</v>
      </c>
    </row>
    <row r="69" ht="22.5" customHeight="1">
      <c r="A69" s="9">
        <v>45744.0</v>
      </c>
      <c r="B69" s="10">
        <v>6186.0</v>
      </c>
      <c r="C69" s="11" t="s">
        <v>235</v>
      </c>
      <c r="D69" s="11" t="s">
        <v>65</v>
      </c>
      <c r="E69" s="11" t="s">
        <v>38</v>
      </c>
      <c r="F69" s="11" t="s">
        <v>39</v>
      </c>
      <c r="G69" s="12">
        <v>10.0</v>
      </c>
      <c r="H69" s="13">
        <v>1452.23</v>
      </c>
      <c r="I69" s="14">
        <f t="shared" si="1"/>
        <v>14522.3</v>
      </c>
      <c r="J69" s="15">
        <f t="shared" si="2"/>
        <v>2025</v>
      </c>
      <c r="K69" s="15">
        <f t="shared" si="3"/>
        <v>3</v>
      </c>
      <c r="L69" s="15">
        <f t="shared" si="4"/>
        <v>28</v>
      </c>
      <c r="M69" s="15">
        <f t="shared" si="5"/>
        <v>6</v>
      </c>
      <c r="N69" s="16">
        <f t="shared" si="6"/>
        <v>5808.92</v>
      </c>
      <c r="O69" s="16">
        <f t="shared" si="7"/>
        <v>1452.23</v>
      </c>
      <c r="P69" s="17" t="str">
        <f t="shared" si="8"/>
        <v>2025_3</v>
      </c>
      <c r="Q69" s="17" t="str">
        <f t="shared" si="9"/>
        <v>VIP</v>
      </c>
    </row>
    <row r="70" ht="22.5" customHeight="1">
      <c r="A70" s="9">
        <v>45775.0</v>
      </c>
      <c r="B70" s="10">
        <v>8478.0</v>
      </c>
      <c r="C70" s="11" t="s">
        <v>237</v>
      </c>
      <c r="D70" s="11" t="s">
        <v>37</v>
      </c>
      <c r="E70" s="11" t="s">
        <v>32</v>
      </c>
      <c r="F70" s="11" t="s">
        <v>100</v>
      </c>
      <c r="G70" s="12">
        <v>6.0</v>
      </c>
      <c r="H70" s="13">
        <v>2724.4</v>
      </c>
      <c r="I70" s="14">
        <f t="shared" si="1"/>
        <v>16346.4</v>
      </c>
      <c r="J70" s="15">
        <f t="shared" si="2"/>
        <v>2025</v>
      </c>
      <c r="K70" s="15">
        <f t="shared" si="3"/>
        <v>4</v>
      </c>
      <c r="L70" s="15">
        <f t="shared" si="4"/>
        <v>28</v>
      </c>
      <c r="M70" s="15">
        <f t="shared" si="5"/>
        <v>2</v>
      </c>
      <c r="N70" s="16">
        <f t="shared" si="6"/>
        <v>6538.56</v>
      </c>
      <c r="O70" s="16">
        <f t="shared" si="7"/>
        <v>1634.64</v>
      </c>
      <c r="P70" s="17" t="str">
        <f t="shared" si="8"/>
        <v>2025_4</v>
      </c>
      <c r="Q70" s="17" t="str">
        <f t="shared" si="9"/>
        <v>VIP</v>
      </c>
    </row>
    <row r="71" ht="22.5" customHeight="1">
      <c r="A71" s="9">
        <v>45806.0</v>
      </c>
      <c r="B71" s="10">
        <v>2031.0</v>
      </c>
      <c r="C71" s="11" t="s">
        <v>241</v>
      </c>
      <c r="D71" s="11" t="s">
        <v>43</v>
      </c>
      <c r="E71" s="11" t="s">
        <v>19</v>
      </c>
      <c r="F71" s="11" t="s">
        <v>58</v>
      </c>
      <c r="G71" s="12">
        <v>9.0</v>
      </c>
      <c r="H71" s="13">
        <v>2458.54</v>
      </c>
      <c r="I71" s="14">
        <f t="shared" si="1"/>
        <v>22126.86</v>
      </c>
      <c r="J71" s="15">
        <f t="shared" si="2"/>
        <v>2025</v>
      </c>
      <c r="K71" s="15">
        <f t="shared" si="3"/>
        <v>5</v>
      </c>
      <c r="L71" s="15">
        <f t="shared" si="4"/>
        <v>29</v>
      </c>
      <c r="M71" s="15">
        <f t="shared" si="5"/>
        <v>5</v>
      </c>
      <c r="N71" s="16">
        <f t="shared" si="6"/>
        <v>8850.744</v>
      </c>
      <c r="O71" s="16">
        <f t="shared" si="7"/>
        <v>2212.686</v>
      </c>
      <c r="P71" s="17" t="str">
        <f t="shared" si="8"/>
        <v>2025_5</v>
      </c>
      <c r="Q71" s="17" t="str">
        <f t="shared" si="9"/>
        <v>VIP</v>
      </c>
    </row>
    <row r="72" ht="22.5" customHeight="1">
      <c r="A72" s="9">
        <v>45806.0</v>
      </c>
      <c r="B72" s="10">
        <v>1956.0</v>
      </c>
      <c r="C72" s="11" t="s">
        <v>242</v>
      </c>
      <c r="D72" s="11" t="s">
        <v>65</v>
      </c>
      <c r="E72" s="11" t="s">
        <v>28</v>
      </c>
      <c r="F72" s="11" t="s">
        <v>29</v>
      </c>
      <c r="G72" s="12">
        <v>9.0</v>
      </c>
      <c r="H72" s="13">
        <v>2371.99</v>
      </c>
      <c r="I72" s="14">
        <f t="shared" si="1"/>
        <v>21347.91</v>
      </c>
      <c r="J72" s="15">
        <f t="shared" si="2"/>
        <v>2025</v>
      </c>
      <c r="K72" s="15">
        <f t="shared" si="3"/>
        <v>5</v>
      </c>
      <c r="L72" s="15">
        <f t="shared" si="4"/>
        <v>29</v>
      </c>
      <c r="M72" s="15">
        <f t="shared" si="5"/>
        <v>5</v>
      </c>
      <c r="N72" s="16">
        <f t="shared" si="6"/>
        <v>8539.164</v>
      </c>
      <c r="O72" s="16">
        <f t="shared" si="7"/>
        <v>2134.791</v>
      </c>
      <c r="P72" s="17" t="str">
        <f t="shared" si="8"/>
        <v>2025_5</v>
      </c>
      <c r="Q72" s="17" t="str">
        <f t="shared" si="9"/>
        <v>VIP</v>
      </c>
    </row>
    <row r="73" ht="22.5" customHeight="1">
      <c r="A73" s="9">
        <v>45747.0</v>
      </c>
      <c r="B73" s="10">
        <v>4450.0</v>
      </c>
      <c r="C73" s="11" t="s">
        <v>251</v>
      </c>
      <c r="D73" s="11" t="s">
        <v>43</v>
      </c>
      <c r="E73" s="11" t="s">
        <v>28</v>
      </c>
      <c r="F73" s="11" t="s">
        <v>50</v>
      </c>
      <c r="G73" s="12">
        <v>7.0</v>
      </c>
      <c r="H73" s="13">
        <v>1682.66</v>
      </c>
      <c r="I73" s="14">
        <f t="shared" si="1"/>
        <v>11778.62</v>
      </c>
      <c r="J73" s="15">
        <f t="shared" si="2"/>
        <v>2025</v>
      </c>
      <c r="K73" s="15">
        <f t="shared" si="3"/>
        <v>3</v>
      </c>
      <c r="L73" s="15">
        <f t="shared" si="4"/>
        <v>31</v>
      </c>
      <c r="M73" s="15">
        <f t="shared" si="5"/>
        <v>2</v>
      </c>
      <c r="N73" s="16">
        <f t="shared" si="6"/>
        <v>4711.448</v>
      </c>
      <c r="O73" s="16">
        <f t="shared" si="7"/>
        <v>1177.862</v>
      </c>
      <c r="P73" s="17" t="str">
        <f t="shared" si="8"/>
        <v>2025_3</v>
      </c>
      <c r="Q73" s="17" t="str">
        <f t="shared" si="9"/>
        <v>VIP</v>
      </c>
    </row>
    <row r="74" ht="22.5" customHeight="1">
      <c r="A74" s="9">
        <v>45808.0</v>
      </c>
      <c r="B74" s="10">
        <v>9968.0</v>
      </c>
      <c r="C74" s="11" t="s">
        <v>253</v>
      </c>
      <c r="D74" s="11" t="s">
        <v>27</v>
      </c>
      <c r="E74" s="11" t="s">
        <v>23</v>
      </c>
      <c r="F74" s="11" t="s">
        <v>35</v>
      </c>
      <c r="G74" s="12">
        <v>7.0</v>
      </c>
      <c r="H74" s="13">
        <v>1493.85</v>
      </c>
      <c r="I74" s="14">
        <f t="shared" si="1"/>
        <v>10456.95</v>
      </c>
      <c r="J74" s="15">
        <f t="shared" si="2"/>
        <v>2025</v>
      </c>
      <c r="K74" s="15">
        <f t="shared" si="3"/>
        <v>5</v>
      </c>
      <c r="L74" s="15">
        <f t="shared" si="4"/>
        <v>31</v>
      </c>
      <c r="M74" s="15">
        <f t="shared" si="5"/>
        <v>7</v>
      </c>
      <c r="N74" s="16">
        <f t="shared" si="6"/>
        <v>4182.78</v>
      </c>
      <c r="O74" s="16">
        <f t="shared" si="7"/>
        <v>1045.695</v>
      </c>
      <c r="P74" s="17" t="str">
        <f t="shared" si="8"/>
        <v>2025_5</v>
      </c>
      <c r="Q74" s="17" t="str">
        <f t="shared" si="9"/>
        <v>VIP</v>
      </c>
    </row>
  </sheetData>
  <dataValidations>
    <dataValidation type="custom" allowBlank="1" showDropDown="1" sqref="A2:A74">
      <formula1>OR(NOT(ISERROR(DATEVALUE(A2))), AND(ISNUMBER(A2), LEFT(CELL("format", A2))="D"))</formula1>
    </dataValidation>
    <dataValidation type="custom" allowBlank="1" showDropDown="1" sqref="B2:B74 G2:I74 N2:O74">
      <formula1>AND(ISNUMBER(B2),(NOT(OR(NOT(ISERROR(DATEVALUE(B2))), AND(ISNUMBER(B2), LEFT(CELL("format", B2))="D")))))</formula1>
    </dataValidation>
    <dataValidation allowBlank="1" showDropDown="1" sqref="C2:F7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8" t="s">
        <v>15</v>
      </c>
      <c r="Q1" s="8" t="s">
        <v>16</v>
      </c>
    </row>
    <row r="2" ht="22.5" customHeight="1">
      <c r="A2" s="9">
        <v>45778.0</v>
      </c>
      <c r="B2" s="10">
        <v>2197.0</v>
      </c>
      <c r="C2" s="11" t="s">
        <v>21</v>
      </c>
      <c r="D2" s="11" t="s">
        <v>22</v>
      </c>
      <c r="E2" s="11" t="s">
        <v>23</v>
      </c>
      <c r="F2" s="11" t="s">
        <v>24</v>
      </c>
      <c r="G2" s="12">
        <v>1.0</v>
      </c>
      <c r="H2" s="13">
        <v>1350.68</v>
      </c>
      <c r="I2" s="14">
        <f t="shared" ref="I2:I128" si="1">G2*H2</f>
        <v>1350.68</v>
      </c>
      <c r="J2" s="15">
        <f t="shared" ref="J2:J128" si="2">YEAR(A2)</f>
        <v>2025</v>
      </c>
      <c r="K2" s="15">
        <f t="shared" ref="K2:K128" si="3">MONTH(A2)</f>
        <v>5</v>
      </c>
      <c r="L2" s="15">
        <f t="shared" ref="L2:L128" si="4">DAY(A2)</f>
        <v>1</v>
      </c>
      <c r="M2" s="15">
        <f t="shared" ref="M2:M128" si="5">WEEKDAY(A2,1)</f>
        <v>5</v>
      </c>
      <c r="N2" s="16">
        <f t="shared" ref="N2:N128" si="6">0.4*$I2</f>
        <v>540.272</v>
      </c>
      <c r="O2" s="16">
        <f t="shared" ref="O2:O128" si="7">0.1*$I2</f>
        <v>135.068</v>
      </c>
      <c r="P2" s="17" t="str">
        <f t="shared" ref="P2:P128" si="8">CONCATENATE(J2,"_",K2)</f>
        <v>2025_5</v>
      </c>
      <c r="Q2" s="17" t="str">
        <f t="shared" ref="Q2:Q128" si="9">IF(I2&gt;=10000,"VIP","Não VIP")</f>
        <v>Não VIP</v>
      </c>
      <c r="S2" s="27">
        <f>STDEVA(Tabela_3[Total da Venda])</f>
        <v>2754.496049</v>
      </c>
    </row>
    <row r="3" ht="22.5" customHeight="1">
      <c r="A3" s="9">
        <v>45778.0</v>
      </c>
      <c r="B3" s="10">
        <v>1960.0</v>
      </c>
      <c r="C3" s="11" t="s">
        <v>26</v>
      </c>
      <c r="D3" s="11" t="s">
        <v>27</v>
      </c>
      <c r="E3" s="11" t="s">
        <v>28</v>
      </c>
      <c r="F3" s="11" t="s">
        <v>29</v>
      </c>
      <c r="G3" s="12">
        <v>5.0</v>
      </c>
      <c r="H3" s="13">
        <v>220.11</v>
      </c>
      <c r="I3" s="14">
        <f t="shared" si="1"/>
        <v>1100.55</v>
      </c>
      <c r="J3" s="15">
        <f t="shared" si="2"/>
        <v>2025</v>
      </c>
      <c r="K3" s="15">
        <f t="shared" si="3"/>
        <v>5</v>
      </c>
      <c r="L3" s="15">
        <f t="shared" si="4"/>
        <v>1</v>
      </c>
      <c r="M3" s="15">
        <f t="shared" si="5"/>
        <v>5</v>
      </c>
      <c r="N3" s="16">
        <f t="shared" si="6"/>
        <v>440.22</v>
      </c>
      <c r="O3" s="16">
        <f t="shared" si="7"/>
        <v>110.055</v>
      </c>
      <c r="P3" s="17" t="str">
        <f t="shared" si="8"/>
        <v>2025_5</v>
      </c>
      <c r="Q3" s="17" t="str">
        <f t="shared" si="9"/>
        <v>Não VIP</v>
      </c>
    </row>
    <row r="4" ht="22.5" customHeight="1">
      <c r="A4" s="9">
        <v>45809.0</v>
      </c>
      <c r="B4" s="10">
        <v>6125.0</v>
      </c>
      <c r="C4" s="11" t="s">
        <v>30</v>
      </c>
      <c r="D4" s="11" t="s">
        <v>31</v>
      </c>
      <c r="E4" s="11" t="s">
        <v>32</v>
      </c>
      <c r="F4" s="11" t="s">
        <v>33</v>
      </c>
      <c r="G4" s="12">
        <v>2.0</v>
      </c>
      <c r="H4" s="13">
        <v>603.9</v>
      </c>
      <c r="I4" s="14">
        <f t="shared" si="1"/>
        <v>1207.8</v>
      </c>
      <c r="J4" s="15">
        <f t="shared" si="2"/>
        <v>2025</v>
      </c>
      <c r="K4" s="15">
        <f t="shared" si="3"/>
        <v>6</v>
      </c>
      <c r="L4" s="15">
        <f t="shared" si="4"/>
        <v>1</v>
      </c>
      <c r="M4" s="15">
        <f t="shared" si="5"/>
        <v>1</v>
      </c>
      <c r="N4" s="16">
        <f t="shared" si="6"/>
        <v>483.12</v>
      </c>
      <c r="O4" s="16">
        <f t="shared" si="7"/>
        <v>120.78</v>
      </c>
      <c r="P4" s="17" t="str">
        <f t="shared" si="8"/>
        <v>2025_6</v>
      </c>
      <c r="Q4" s="17" t="str">
        <f t="shared" si="9"/>
        <v>Não VIP</v>
      </c>
    </row>
    <row r="5" ht="22.5" customHeight="1">
      <c r="A5" s="9">
        <v>45690.0</v>
      </c>
      <c r="B5" s="10">
        <v>6714.0</v>
      </c>
      <c r="C5" s="11" t="s">
        <v>40</v>
      </c>
      <c r="D5" s="11" t="s">
        <v>31</v>
      </c>
      <c r="E5" s="11" t="s">
        <v>19</v>
      </c>
      <c r="F5" s="11" t="s">
        <v>41</v>
      </c>
      <c r="G5" s="12">
        <v>3.0</v>
      </c>
      <c r="H5" s="13">
        <v>2256.13</v>
      </c>
      <c r="I5" s="14">
        <f t="shared" si="1"/>
        <v>6768.39</v>
      </c>
      <c r="J5" s="15">
        <f t="shared" si="2"/>
        <v>2025</v>
      </c>
      <c r="K5" s="15">
        <f t="shared" si="3"/>
        <v>2</v>
      </c>
      <c r="L5" s="15">
        <f t="shared" si="4"/>
        <v>2</v>
      </c>
      <c r="M5" s="15">
        <f t="shared" si="5"/>
        <v>1</v>
      </c>
      <c r="N5" s="16">
        <f t="shared" si="6"/>
        <v>2707.356</v>
      </c>
      <c r="O5" s="16">
        <f t="shared" si="7"/>
        <v>676.839</v>
      </c>
      <c r="P5" s="17" t="str">
        <f t="shared" si="8"/>
        <v>2025_2</v>
      </c>
      <c r="Q5" s="17" t="str">
        <f t="shared" si="9"/>
        <v>Não VIP</v>
      </c>
    </row>
    <row r="6" ht="22.5" customHeight="1">
      <c r="A6" s="9">
        <v>45690.0</v>
      </c>
      <c r="B6" s="10">
        <v>3091.0</v>
      </c>
      <c r="C6" s="11" t="s">
        <v>42</v>
      </c>
      <c r="D6" s="11" t="s">
        <v>43</v>
      </c>
      <c r="E6" s="11" t="s">
        <v>19</v>
      </c>
      <c r="F6" s="11" t="s">
        <v>44</v>
      </c>
      <c r="G6" s="12">
        <v>1.0</v>
      </c>
      <c r="H6" s="13">
        <v>1718.77</v>
      </c>
      <c r="I6" s="14">
        <f t="shared" si="1"/>
        <v>1718.77</v>
      </c>
      <c r="J6" s="15">
        <f t="shared" si="2"/>
        <v>2025</v>
      </c>
      <c r="K6" s="15">
        <f t="shared" si="3"/>
        <v>2</v>
      </c>
      <c r="L6" s="15">
        <f t="shared" si="4"/>
        <v>2</v>
      </c>
      <c r="M6" s="15">
        <f t="shared" si="5"/>
        <v>1</v>
      </c>
      <c r="N6" s="16">
        <f t="shared" si="6"/>
        <v>687.508</v>
      </c>
      <c r="O6" s="16">
        <f t="shared" si="7"/>
        <v>171.877</v>
      </c>
      <c r="P6" s="17" t="str">
        <f t="shared" si="8"/>
        <v>2025_2</v>
      </c>
      <c r="Q6" s="17" t="str">
        <f t="shared" si="9"/>
        <v>Não VIP</v>
      </c>
    </row>
    <row r="7" ht="22.5" customHeight="1">
      <c r="A7" s="9">
        <v>45810.0</v>
      </c>
      <c r="B7" s="10">
        <v>7884.0</v>
      </c>
      <c r="C7" s="11" t="s">
        <v>49</v>
      </c>
      <c r="D7" s="11" t="s">
        <v>22</v>
      </c>
      <c r="E7" s="11" t="s">
        <v>28</v>
      </c>
      <c r="F7" s="11" t="s">
        <v>50</v>
      </c>
      <c r="G7" s="12">
        <v>1.0</v>
      </c>
      <c r="H7" s="13">
        <v>1733.16</v>
      </c>
      <c r="I7" s="14">
        <f t="shared" si="1"/>
        <v>1733.16</v>
      </c>
      <c r="J7" s="15">
        <f t="shared" si="2"/>
        <v>2025</v>
      </c>
      <c r="K7" s="15">
        <f t="shared" si="3"/>
        <v>6</v>
      </c>
      <c r="L7" s="15">
        <f t="shared" si="4"/>
        <v>2</v>
      </c>
      <c r="M7" s="15">
        <f t="shared" si="5"/>
        <v>2</v>
      </c>
      <c r="N7" s="16">
        <f t="shared" si="6"/>
        <v>693.264</v>
      </c>
      <c r="O7" s="16">
        <f t="shared" si="7"/>
        <v>173.316</v>
      </c>
      <c r="P7" s="17" t="str">
        <f t="shared" si="8"/>
        <v>2025_6</v>
      </c>
      <c r="Q7" s="17" t="str">
        <f t="shared" si="9"/>
        <v>Não VIP</v>
      </c>
    </row>
    <row r="8" ht="22.5" customHeight="1">
      <c r="A8" s="9">
        <v>45719.0</v>
      </c>
      <c r="B8" s="10">
        <v>8053.0</v>
      </c>
      <c r="C8" s="11" t="s">
        <v>55</v>
      </c>
      <c r="D8" s="11" t="s">
        <v>37</v>
      </c>
      <c r="E8" s="11" t="s">
        <v>32</v>
      </c>
      <c r="F8" s="11" t="s">
        <v>56</v>
      </c>
      <c r="G8" s="12">
        <v>2.0</v>
      </c>
      <c r="H8" s="13">
        <v>890.08</v>
      </c>
      <c r="I8" s="14">
        <f t="shared" si="1"/>
        <v>1780.16</v>
      </c>
      <c r="J8" s="15">
        <f t="shared" si="2"/>
        <v>2025</v>
      </c>
      <c r="K8" s="15">
        <f t="shared" si="3"/>
        <v>3</v>
      </c>
      <c r="L8" s="15">
        <f t="shared" si="4"/>
        <v>3</v>
      </c>
      <c r="M8" s="15">
        <f t="shared" si="5"/>
        <v>2</v>
      </c>
      <c r="N8" s="16">
        <f t="shared" si="6"/>
        <v>712.064</v>
      </c>
      <c r="O8" s="16">
        <f t="shared" si="7"/>
        <v>178.016</v>
      </c>
      <c r="P8" s="17" t="str">
        <f t="shared" si="8"/>
        <v>2025_3</v>
      </c>
      <c r="Q8" s="17" t="str">
        <f t="shared" si="9"/>
        <v>Não VIP</v>
      </c>
    </row>
    <row r="9" ht="22.5" customHeight="1">
      <c r="A9" s="9">
        <v>45780.0</v>
      </c>
      <c r="B9" s="10">
        <v>4059.0</v>
      </c>
      <c r="C9" s="11" t="s">
        <v>59</v>
      </c>
      <c r="D9" s="11" t="s">
        <v>37</v>
      </c>
      <c r="E9" s="11" t="s">
        <v>38</v>
      </c>
      <c r="F9" s="11" t="s">
        <v>60</v>
      </c>
      <c r="G9" s="12">
        <v>10.0</v>
      </c>
      <c r="H9" s="13">
        <v>520.7</v>
      </c>
      <c r="I9" s="14">
        <f t="shared" si="1"/>
        <v>5207</v>
      </c>
      <c r="J9" s="15">
        <f t="shared" si="2"/>
        <v>2025</v>
      </c>
      <c r="K9" s="15">
        <f t="shared" si="3"/>
        <v>5</v>
      </c>
      <c r="L9" s="15">
        <f t="shared" si="4"/>
        <v>3</v>
      </c>
      <c r="M9" s="15">
        <f t="shared" si="5"/>
        <v>7</v>
      </c>
      <c r="N9" s="16">
        <f t="shared" si="6"/>
        <v>2082.8</v>
      </c>
      <c r="O9" s="16">
        <f t="shared" si="7"/>
        <v>520.7</v>
      </c>
      <c r="P9" s="17" t="str">
        <f t="shared" si="8"/>
        <v>2025_5</v>
      </c>
      <c r="Q9" s="17" t="str">
        <f t="shared" si="9"/>
        <v>Não VIP</v>
      </c>
    </row>
    <row r="10" ht="22.5" customHeight="1">
      <c r="A10" s="9">
        <v>45692.0</v>
      </c>
      <c r="B10" s="10">
        <v>7698.0</v>
      </c>
      <c r="C10" s="11" t="s">
        <v>62</v>
      </c>
      <c r="D10" s="11" t="s">
        <v>22</v>
      </c>
      <c r="E10" s="11" t="s">
        <v>38</v>
      </c>
      <c r="F10" s="11" t="s">
        <v>39</v>
      </c>
      <c r="G10" s="12">
        <v>4.0</v>
      </c>
      <c r="H10" s="13">
        <v>2315.37</v>
      </c>
      <c r="I10" s="14">
        <f t="shared" si="1"/>
        <v>9261.48</v>
      </c>
      <c r="J10" s="15">
        <f t="shared" si="2"/>
        <v>2025</v>
      </c>
      <c r="K10" s="15">
        <f t="shared" si="3"/>
        <v>2</v>
      </c>
      <c r="L10" s="15">
        <f t="shared" si="4"/>
        <v>4</v>
      </c>
      <c r="M10" s="15">
        <f t="shared" si="5"/>
        <v>3</v>
      </c>
      <c r="N10" s="16">
        <f t="shared" si="6"/>
        <v>3704.592</v>
      </c>
      <c r="O10" s="16">
        <f t="shared" si="7"/>
        <v>926.148</v>
      </c>
      <c r="P10" s="17" t="str">
        <f t="shared" si="8"/>
        <v>2025_2</v>
      </c>
      <c r="Q10" s="17" t="str">
        <f t="shared" si="9"/>
        <v>Não VIP</v>
      </c>
    </row>
    <row r="11" ht="22.5" customHeight="1">
      <c r="A11" s="9">
        <v>45692.0</v>
      </c>
      <c r="B11" s="10">
        <v>6695.0</v>
      </c>
      <c r="C11" s="11" t="s">
        <v>47</v>
      </c>
      <c r="D11" s="11" t="s">
        <v>43</v>
      </c>
      <c r="E11" s="11" t="s">
        <v>32</v>
      </c>
      <c r="F11" s="11" t="s">
        <v>33</v>
      </c>
      <c r="G11" s="12">
        <v>4.0</v>
      </c>
      <c r="H11" s="13">
        <v>1182.29</v>
      </c>
      <c r="I11" s="14">
        <f t="shared" si="1"/>
        <v>4729.16</v>
      </c>
      <c r="J11" s="15">
        <f t="shared" si="2"/>
        <v>2025</v>
      </c>
      <c r="K11" s="15">
        <f t="shared" si="3"/>
        <v>2</v>
      </c>
      <c r="L11" s="15">
        <f t="shared" si="4"/>
        <v>4</v>
      </c>
      <c r="M11" s="15">
        <f t="shared" si="5"/>
        <v>3</v>
      </c>
      <c r="N11" s="16">
        <f t="shared" si="6"/>
        <v>1891.664</v>
      </c>
      <c r="O11" s="16">
        <f t="shared" si="7"/>
        <v>472.916</v>
      </c>
      <c r="P11" s="17" t="str">
        <f t="shared" si="8"/>
        <v>2025_2</v>
      </c>
      <c r="Q11" s="17" t="str">
        <f t="shared" si="9"/>
        <v>Não VIP</v>
      </c>
    </row>
    <row r="12" ht="22.5" customHeight="1">
      <c r="A12" s="9">
        <v>45781.0</v>
      </c>
      <c r="B12" s="10">
        <v>2848.0</v>
      </c>
      <c r="C12" s="11" t="s">
        <v>70</v>
      </c>
      <c r="D12" s="11" t="s">
        <v>27</v>
      </c>
      <c r="E12" s="11" t="s">
        <v>19</v>
      </c>
      <c r="F12" s="11" t="s">
        <v>41</v>
      </c>
      <c r="G12" s="12">
        <v>3.0</v>
      </c>
      <c r="H12" s="13">
        <v>1450.82</v>
      </c>
      <c r="I12" s="14">
        <f t="shared" si="1"/>
        <v>4352.46</v>
      </c>
      <c r="J12" s="15">
        <f t="shared" si="2"/>
        <v>2025</v>
      </c>
      <c r="K12" s="15">
        <f t="shared" si="3"/>
        <v>5</v>
      </c>
      <c r="L12" s="15">
        <f t="shared" si="4"/>
        <v>4</v>
      </c>
      <c r="M12" s="15">
        <f t="shared" si="5"/>
        <v>1</v>
      </c>
      <c r="N12" s="16">
        <f t="shared" si="6"/>
        <v>1740.984</v>
      </c>
      <c r="O12" s="16">
        <f t="shared" si="7"/>
        <v>435.246</v>
      </c>
      <c r="P12" s="17" t="str">
        <f t="shared" si="8"/>
        <v>2025_5</v>
      </c>
      <c r="Q12" s="17" t="str">
        <f t="shared" si="9"/>
        <v>Não VIP</v>
      </c>
    </row>
    <row r="13" ht="22.5" customHeight="1">
      <c r="A13" s="9">
        <v>45662.0</v>
      </c>
      <c r="B13" s="10">
        <v>5746.0</v>
      </c>
      <c r="C13" s="11" t="s">
        <v>71</v>
      </c>
      <c r="D13" s="11" t="s">
        <v>22</v>
      </c>
      <c r="E13" s="11" t="s">
        <v>23</v>
      </c>
      <c r="F13" s="11" t="s">
        <v>35</v>
      </c>
      <c r="G13" s="12">
        <v>3.0</v>
      </c>
      <c r="H13" s="13">
        <v>2806.52</v>
      </c>
      <c r="I13" s="14">
        <f t="shared" si="1"/>
        <v>8419.56</v>
      </c>
      <c r="J13" s="15">
        <f t="shared" si="2"/>
        <v>2025</v>
      </c>
      <c r="K13" s="15">
        <f t="shared" si="3"/>
        <v>1</v>
      </c>
      <c r="L13" s="15">
        <f t="shared" si="4"/>
        <v>5</v>
      </c>
      <c r="M13" s="15">
        <f t="shared" si="5"/>
        <v>1</v>
      </c>
      <c r="N13" s="16">
        <f t="shared" si="6"/>
        <v>3367.824</v>
      </c>
      <c r="O13" s="16">
        <f t="shared" si="7"/>
        <v>841.956</v>
      </c>
      <c r="P13" s="17" t="str">
        <f t="shared" si="8"/>
        <v>2025_1</v>
      </c>
      <c r="Q13" s="17" t="str">
        <f t="shared" si="9"/>
        <v>Não VIP</v>
      </c>
    </row>
    <row r="14" ht="22.5" customHeight="1">
      <c r="A14" s="9">
        <v>45752.0</v>
      </c>
      <c r="B14" s="10">
        <v>6444.0</v>
      </c>
      <c r="C14" s="11" t="s">
        <v>73</v>
      </c>
      <c r="D14" s="11" t="s">
        <v>37</v>
      </c>
      <c r="E14" s="11" t="s">
        <v>23</v>
      </c>
      <c r="F14" s="11" t="s">
        <v>35</v>
      </c>
      <c r="G14" s="12">
        <v>4.0</v>
      </c>
      <c r="H14" s="13">
        <v>2161.24</v>
      </c>
      <c r="I14" s="14">
        <f t="shared" si="1"/>
        <v>8644.96</v>
      </c>
      <c r="J14" s="15">
        <f t="shared" si="2"/>
        <v>2025</v>
      </c>
      <c r="K14" s="15">
        <f t="shared" si="3"/>
        <v>4</v>
      </c>
      <c r="L14" s="15">
        <f t="shared" si="4"/>
        <v>5</v>
      </c>
      <c r="M14" s="15">
        <f t="shared" si="5"/>
        <v>7</v>
      </c>
      <c r="N14" s="16">
        <f t="shared" si="6"/>
        <v>3457.984</v>
      </c>
      <c r="O14" s="16">
        <f t="shared" si="7"/>
        <v>864.496</v>
      </c>
      <c r="P14" s="17" t="str">
        <f t="shared" si="8"/>
        <v>2025_4</v>
      </c>
      <c r="Q14" s="17" t="str">
        <f t="shared" si="9"/>
        <v>Não VIP</v>
      </c>
    </row>
    <row r="15" ht="22.5" customHeight="1">
      <c r="A15" s="9">
        <v>45782.0</v>
      </c>
      <c r="B15" s="10">
        <v>9305.0</v>
      </c>
      <c r="C15" s="11" t="s">
        <v>75</v>
      </c>
      <c r="D15" s="11" t="s">
        <v>18</v>
      </c>
      <c r="E15" s="11" t="s">
        <v>28</v>
      </c>
      <c r="F15" s="11" t="s">
        <v>76</v>
      </c>
      <c r="G15" s="12">
        <v>3.0</v>
      </c>
      <c r="H15" s="13">
        <v>366.45</v>
      </c>
      <c r="I15" s="14">
        <f t="shared" si="1"/>
        <v>1099.35</v>
      </c>
      <c r="J15" s="15">
        <f t="shared" si="2"/>
        <v>2025</v>
      </c>
      <c r="K15" s="15">
        <f t="shared" si="3"/>
        <v>5</v>
      </c>
      <c r="L15" s="15">
        <f t="shared" si="4"/>
        <v>5</v>
      </c>
      <c r="M15" s="15">
        <f t="shared" si="5"/>
        <v>2</v>
      </c>
      <c r="N15" s="16">
        <f t="shared" si="6"/>
        <v>439.74</v>
      </c>
      <c r="O15" s="16">
        <f t="shared" si="7"/>
        <v>109.935</v>
      </c>
      <c r="P15" s="17" t="str">
        <f t="shared" si="8"/>
        <v>2025_5</v>
      </c>
      <c r="Q15" s="17" t="str">
        <f t="shared" si="9"/>
        <v>Não VIP</v>
      </c>
    </row>
    <row r="16" ht="22.5" customHeight="1">
      <c r="A16" s="9">
        <v>45663.0</v>
      </c>
      <c r="B16" s="10">
        <v>1549.0</v>
      </c>
      <c r="C16" s="11" t="s">
        <v>79</v>
      </c>
      <c r="D16" s="11" t="s">
        <v>22</v>
      </c>
      <c r="E16" s="11" t="s">
        <v>23</v>
      </c>
      <c r="F16" s="11" t="s">
        <v>80</v>
      </c>
      <c r="G16" s="12">
        <v>4.0</v>
      </c>
      <c r="H16" s="13">
        <v>819.91</v>
      </c>
      <c r="I16" s="14">
        <f t="shared" si="1"/>
        <v>3279.64</v>
      </c>
      <c r="J16" s="15">
        <f t="shared" si="2"/>
        <v>2025</v>
      </c>
      <c r="K16" s="15">
        <f t="shared" si="3"/>
        <v>1</v>
      </c>
      <c r="L16" s="15">
        <f t="shared" si="4"/>
        <v>6</v>
      </c>
      <c r="M16" s="15">
        <f t="shared" si="5"/>
        <v>2</v>
      </c>
      <c r="N16" s="16">
        <f t="shared" si="6"/>
        <v>1311.856</v>
      </c>
      <c r="O16" s="16">
        <f t="shared" si="7"/>
        <v>327.964</v>
      </c>
      <c r="P16" s="17" t="str">
        <f t="shared" si="8"/>
        <v>2025_1</v>
      </c>
      <c r="Q16" s="17" t="str">
        <f t="shared" si="9"/>
        <v>Não VIP</v>
      </c>
    </row>
    <row r="17" ht="22.5" customHeight="1">
      <c r="A17" s="9">
        <v>45694.0</v>
      </c>
      <c r="B17" s="10">
        <v>3819.0</v>
      </c>
      <c r="C17" s="11" t="s">
        <v>81</v>
      </c>
      <c r="D17" s="11" t="s">
        <v>22</v>
      </c>
      <c r="E17" s="11" t="s">
        <v>19</v>
      </c>
      <c r="F17" s="11" t="s">
        <v>20</v>
      </c>
      <c r="G17" s="12">
        <v>9.0</v>
      </c>
      <c r="H17" s="13">
        <v>610.97</v>
      </c>
      <c r="I17" s="14">
        <f t="shared" si="1"/>
        <v>5498.73</v>
      </c>
      <c r="J17" s="15">
        <f t="shared" si="2"/>
        <v>2025</v>
      </c>
      <c r="K17" s="15">
        <f t="shared" si="3"/>
        <v>2</v>
      </c>
      <c r="L17" s="15">
        <f t="shared" si="4"/>
        <v>6</v>
      </c>
      <c r="M17" s="15">
        <f t="shared" si="5"/>
        <v>5</v>
      </c>
      <c r="N17" s="16">
        <f t="shared" si="6"/>
        <v>2199.492</v>
      </c>
      <c r="O17" s="16">
        <f t="shared" si="7"/>
        <v>549.873</v>
      </c>
      <c r="P17" s="17" t="str">
        <f t="shared" si="8"/>
        <v>2025_2</v>
      </c>
      <c r="Q17" s="17" t="str">
        <f t="shared" si="9"/>
        <v>Não VIP</v>
      </c>
    </row>
    <row r="18" ht="22.5" customHeight="1">
      <c r="A18" s="9">
        <v>45753.0</v>
      </c>
      <c r="B18" s="10">
        <v>7345.0</v>
      </c>
      <c r="C18" s="11" t="s">
        <v>82</v>
      </c>
      <c r="D18" s="11" t="s">
        <v>27</v>
      </c>
      <c r="E18" s="11" t="s">
        <v>19</v>
      </c>
      <c r="F18" s="11" t="s">
        <v>46</v>
      </c>
      <c r="G18" s="12">
        <v>2.0</v>
      </c>
      <c r="H18" s="13">
        <v>510.08</v>
      </c>
      <c r="I18" s="14">
        <f t="shared" si="1"/>
        <v>1020.16</v>
      </c>
      <c r="J18" s="15">
        <f t="shared" si="2"/>
        <v>2025</v>
      </c>
      <c r="K18" s="15">
        <f t="shared" si="3"/>
        <v>4</v>
      </c>
      <c r="L18" s="15">
        <f t="shared" si="4"/>
        <v>6</v>
      </c>
      <c r="M18" s="15">
        <f t="shared" si="5"/>
        <v>1</v>
      </c>
      <c r="N18" s="16">
        <f t="shared" si="6"/>
        <v>408.064</v>
      </c>
      <c r="O18" s="16">
        <f t="shared" si="7"/>
        <v>102.016</v>
      </c>
      <c r="P18" s="17" t="str">
        <f t="shared" si="8"/>
        <v>2025_4</v>
      </c>
      <c r="Q18" s="17" t="str">
        <f t="shared" si="9"/>
        <v>Não VIP</v>
      </c>
    </row>
    <row r="19" ht="22.5" customHeight="1">
      <c r="A19" s="9">
        <v>45783.0</v>
      </c>
      <c r="B19" s="10">
        <v>4708.0</v>
      </c>
      <c r="C19" s="11" t="s">
        <v>84</v>
      </c>
      <c r="D19" s="11" t="s">
        <v>31</v>
      </c>
      <c r="E19" s="11" t="s">
        <v>32</v>
      </c>
      <c r="F19" s="11" t="s">
        <v>85</v>
      </c>
      <c r="G19" s="12">
        <v>3.0</v>
      </c>
      <c r="H19" s="13">
        <v>2759.63</v>
      </c>
      <c r="I19" s="14">
        <f t="shared" si="1"/>
        <v>8278.89</v>
      </c>
      <c r="J19" s="15">
        <f t="shared" si="2"/>
        <v>2025</v>
      </c>
      <c r="K19" s="15">
        <f t="shared" si="3"/>
        <v>5</v>
      </c>
      <c r="L19" s="15">
        <f t="shared" si="4"/>
        <v>6</v>
      </c>
      <c r="M19" s="15">
        <f t="shared" si="5"/>
        <v>3</v>
      </c>
      <c r="N19" s="16">
        <f t="shared" si="6"/>
        <v>3311.556</v>
      </c>
      <c r="O19" s="16">
        <f t="shared" si="7"/>
        <v>827.889</v>
      </c>
      <c r="P19" s="17" t="str">
        <f t="shared" si="8"/>
        <v>2025_5</v>
      </c>
      <c r="Q19" s="17" t="str">
        <f t="shared" si="9"/>
        <v>Não VIP</v>
      </c>
    </row>
    <row r="20" ht="22.5" customHeight="1">
      <c r="A20" s="9">
        <v>45814.0</v>
      </c>
      <c r="B20" s="10">
        <v>2405.0</v>
      </c>
      <c r="C20" s="11" t="s">
        <v>86</v>
      </c>
      <c r="D20" s="11" t="s">
        <v>22</v>
      </c>
      <c r="E20" s="11" t="s">
        <v>23</v>
      </c>
      <c r="F20" s="11" t="s">
        <v>35</v>
      </c>
      <c r="G20" s="12">
        <v>8.0</v>
      </c>
      <c r="H20" s="13">
        <v>1072.44</v>
      </c>
      <c r="I20" s="14">
        <f t="shared" si="1"/>
        <v>8579.52</v>
      </c>
      <c r="J20" s="15">
        <f t="shared" si="2"/>
        <v>2025</v>
      </c>
      <c r="K20" s="15">
        <f t="shared" si="3"/>
        <v>6</v>
      </c>
      <c r="L20" s="15">
        <f t="shared" si="4"/>
        <v>6</v>
      </c>
      <c r="M20" s="15">
        <f t="shared" si="5"/>
        <v>6</v>
      </c>
      <c r="N20" s="16">
        <f t="shared" si="6"/>
        <v>3431.808</v>
      </c>
      <c r="O20" s="16">
        <f t="shared" si="7"/>
        <v>857.952</v>
      </c>
      <c r="P20" s="17" t="str">
        <f t="shared" si="8"/>
        <v>2025_6</v>
      </c>
      <c r="Q20" s="17" t="str">
        <f t="shared" si="9"/>
        <v>Não VIP</v>
      </c>
    </row>
    <row r="21" ht="22.5" customHeight="1">
      <c r="A21" s="9">
        <v>45754.0</v>
      </c>
      <c r="B21" s="10">
        <v>1825.0</v>
      </c>
      <c r="C21" s="11" t="s">
        <v>89</v>
      </c>
      <c r="D21" s="11" t="s">
        <v>31</v>
      </c>
      <c r="E21" s="11" t="s">
        <v>38</v>
      </c>
      <c r="F21" s="11" t="s">
        <v>39</v>
      </c>
      <c r="G21" s="12">
        <v>2.0</v>
      </c>
      <c r="H21" s="13">
        <v>1489.84</v>
      </c>
      <c r="I21" s="14">
        <f t="shared" si="1"/>
        <v>2979.68</v>
      </c>
      <c r="J21" s="15">
        <f t="shared" si="2"/>
        <v>2025</v>
      </c>
      <c r="K21" s="15">
        <f t="shared" si="3"/>
        <v>4</v>
      </c>
      <c r="L21" s="15">
        <f t="shared" si="4"/>
        <v>7</v>
      </c>
      <c r="M21" s="15">
        <f t="shared" si="5"/>
        <v>2</v>
      </c>
      <c r="N21" s="16">
        <f t="shared" si="6"/>
        <v>1191.872</v>
      </c>
      <c r="O21" s="16">
        <f t="shared" si="7"/>
        <v>297.968</v>
      </c>
      <c r="P21" s="17" t="str">
        <f t="shared" si="8"/>
        <v>2025_4</v>
      </c>
      <c r="Q21" s="17" t="str">
        <f t="shared" si="9"/>
        <v>Não VIP</v>
      </c>
    </row>
    <row r="22" ht="22.5" customHeight="1">
      <c r="A22" s="9">
        <v>45784.0</v>
      </c>
      <c r="B22" s="10">
        <v>2199.0</v>
      </c>
      <c r="C22" s="11" t="s">
        <v>90</v>
      </c>
      <c r="D22" s="11" t="s">
        <v>43</v>
      </c>
      <c r="E22" s="11" t="s">
        <v>19</v>
      </c>
      <c r="F22" s="11" t="s">
        <v>58</v>
      </c>
      <c r="G22" s="12">
        <v>3.0</v>
      </c>
      <c r="H22" s="13">
        <v>2105.64</v>
      </c>
      <c r="I22" s="14">
        <f t="shared" si="1"/>
        <v>6316.92</v>
      </c>
      <c r="J22" s="15">
        <f t="shared" si="2"/>
        <v>2025</v>
      </c>
      <c r="K22" s="15">
        <f t="shared" si="3"/>
        <v>5</v>
      </c>
      <c r="L22" s="15">
        <f t="shared" si="4"/>
        <v>7</v>
      </c>
      <c r="M22" s="15">
        <f t="shared" si="5"/>
        <v>4</v>
      </c>
      <c r="N22" s="16">
        <f t="shared" si="6"/>
        <v>2526.768</v>
      </c>
      <c r="O22" s="16">
        <f t="shared" si="7"/>
        <v>631.692</v>
      </c>
      <c r="P22" s="17" t="str">
        <f t="shared" si="8"/>
        <v>2025_5</v>
      </c>
      <c r="Q22" s="17" t="str">
        <f t="shared" si="9"/>
        <v>Não VIP</v>
      </c>
    </row>
    <row r="23" ht="22.5" customHeight="1">
      <c r="A23" s="9">
        <v>45815.0</v>
      </c>
      <c r="B23" s="10">
        <v>9915.0</v>
      </c>
      <c r="C23" s="11" t="s">
        <v>91</v>
      </c>
      <c r="D23" s="11" t="s">
        <v>65</v>
      </c>
      <c r="E23" s="11" t="s">
        <v>23</v>
      </c>
      <c r="F23" s="11" t="s">
        <v>80</v>
      </c>
      <c r="G23" s="12">
        <v>2.0</v>
      </c>
      <c r="H23" s="13">
        <v>370.94</v>
      </c>
      <c r="I23" s="14">
        <f t="shared" si="1"/>
        <v>741.88</v>
      </c>
      <c r="J23" s="15">
        <f t="shared" si="2"/>
        <v>2025</v>
      </c>
      <c r="K23" s="15">
        <f t="shared" si="3"/>
        <v>6</v>
      </c>
      <c r="L23" s="15">
        <f t="shared" si="4"/>
        <v>7</v>
      </c>
      <c r="M23" s="15">
        <f t="shared" si="5"/>
        <v>7</v>
      </c>
      <c r="N23" s="16">
        <f t="shared" si="6"/>
        <v>296.752</v>
      </c>
      <c r="O23" s="16">
        <f t="shared" si="7"/>
        <v>74.188</v>
      </c>
      <c r="P23" s="17" t="str">
        <f t="shared" si="8"/>
        <v>2025_6</v>
      </c>
      <c r="Q23" s="17" t="str">
        <f t="shared" si="9"/>
        <v>Não VIP</v>
      </c>
    </row>
    <row r="24" ht="22.5" customHeight="1">
      <c r="A24" s="9">
        <v>45696.0</v>
      </c>
      <c r="B24" s="10">
        <v>8349.0</v>
      </c>
      <c r="C24" s="11" t="s">
        <v>92</v>
      </c>
      <c r="D24" s="11" t="s">
        <v>37</v>
      </c>
      <c r="E24" s="11" t="s">
        <v>38</v>
      </c>
      <c r="F24" s="11" t="s">
        <v>54</v>
      </c>
      <c r="G24" s="12">
        <v>4.0</v>
      </c>
      <c r="H24" s="13">
        <v>2260.45</v>
      </c>
      <c r="I24" s="14">
        <f t="shared" si="1"/>
        <v>9041.8</v>
      </c>
      <c r="J24" s="15">
        <f t="shared" si="2"/>
        <v>2025</v>
      </c>
      <c r="K24" s="15">
        <f t="shared" si="3"/>
        <v>2</v>
      </c>
      <c r="L24" s="15">
        <f t="shared" si="4"/>
        <v>8</v>
      </c>
      <c r="M24" s="15">
        <f t="shared" si="5"/>
        <v>7</v>
      </c>
      <c r="N24" s="16">
        <f t="shared" si="6"/>
        <v>3616.72</v>
      </c>
      <c r="O24" s="16">
        <f t="shared" si="7"/>
        <v>904.18</v>
      </c>
      <c r="P24" s="17" t="str">
        <f t="shared" si="8"/>
        <v>2025_2</v>
      </c>
      <c r="Q24" s="17" t="str">
        <f t="shared" si="9"/>
        <v>Não VIP</v>
      </c>
    </row>
    <row r="25" ht="22.5" customHeight="1">
      <c r="A25" s="9">
        <v>45785.0</v>
      </c>
      <c r="B25" s="10">
        <v>8542.0</v>
      </c>
      <c r="C25" s="11" t="s">
        <v>93</v>
      </c>
      <c r="D25" s="11" t="s">
        <v>22</v>
      </c>
      <c r="E25" s="11" t="s">
        <v>28</v>
      </c>
      <c r="F25" s="11" t="s">
        <v>29</v>
      </c>
      <c r="G25" s="12">
        <v>1.0</v>
      </c>
      <c r="H25" s="13">
        <v>2541.62</v>
      </c>
      <c r="I25" s="14">
        <f t="shared" si="1"/>
        <v>2541.62</v>
      </c>
      <c r="J25" s="15">
        <f t="shared" si="2"/>
        <v>2025</v>
      </c>
      <c r="K25" s="15">
        <f t="shared" si="3"/>
        <v>5</v>
      </c>
      <c r="L25" s="15">
        <f t="shared" si="4"/>
        <v>8</v>
      </c>
      <c r="M25" s="15">
        <f t="shared" si="5"/>
        <v>5</v>
      </c>
      <c r="N25" s="16">
        <f t="shared" si="6"/>
        <v>1016.648</v>
      </c>
      <c r="O25" s="16">
        <f t="shared" si="7"/>
        <v>254.162</v>
      </c>
      <c r="P25" s="17" t="str">
        <f t="shared" si="8"/>
        <v>2025_5</v>
      </c>
      <c r="Q25" s="17" t="str">
        <f t="shared" si="9"/>
        <v>Não VIP</v>
      </c>
    </row>
    <row r="26" ht="22.5" customHeight="1">
      <c r="A26" s="9">
        <v>45816.0</v>
      </c>
      <c r="B26" s="10">
        <v>5689.0</v>
      </c>
      <c r="C26" s="11" t="s">
        <v>94</v>
      </c>
      <c r="D26" s="11" t="s">
        <v>37</v>
      </c>
      <c r="E26" s="11" t="s">
        <v>38</v>
      </c>
      <c r="F26" s="11" t="s">
        <v>60</v>
      </c>
      <c r="G26" s="12">
        <v>8.0</v>
      </c>
      <c r="H26" s="13">
        <v>481.94</v>
      </c>
      <c r="I26" s="14">
        <f t="shared" si="1"/>
        <v>3855.52</v>
      </c>
      <c r="J26" s="15">
        <f t="shared" si="2"/>
        <v>2025</v>
      </c>
      <c r="K26" s="15">
        <f t="shared" si="3"/>
        <v>6</v>
      </c>
      <c r="L26" s="15">
        <f t="shared" si="4"/>
        <v>8</v>
      </c>
      <c r="M26" s="15">
        <f t="shared" si="5"/>
        <v>1</v>
      </c>
      <c r="N26" s="16">
        <f t="shared" si="6"/>
        <v>1542.208</v>
      </c>
      <c r="O26" s="16">
        <f t="shared" si="7"/>
        <v>385.552</v>
      </c>
      <c r="P26" s="17" t="str">
        <f t="shared" si="8"/>
        <v>2025_6</v>
      </c>
      <c r="Q26" s="17" t="str">
        <f t="shared" si="9"/>
        <v>Não VIP</v>
      </c>
    </row>
    <row r="27" ht="22.5" customHeight="1">
      <c r="A27" s="9">
        <v>45666.0</v>
      </c>
      <c r="B27" s="10">
        <v>1322.0</v>
      </c>
      <c r="C27" s="11" t="s">
        <v>95</v>
      </c>
      <c r="D27" s="11" t="s">
        <v>22</v>
      </c>
      <c r="E27" s="11" t="s">
        <v>28</v>
      </c>
      <c r="F27" s="11" t="s">
        <v>29</v>
      </c>
      <c r="G27" s="12">
        <v>5.0</v>
      </c>
      <c r="H27" s="13">
        <v>1070.3</v>
      </c>
      <c r="I27" s="14">
        <f t="shared" si="1"/>
        <v>5351.5</v>
      </c>
      <c r="J27" s="15">
        <f t="shared" si="2"/>
        <v>2025</v>
      </c>
      <c r="K27" s="15">
        <f t="shared" si="3"/>
        <v>1</v>
      </c>
      <c r="L27" s="15">
        <f t="shared" si="4"/>
        <v>9</v>
      </c>
      <c r="M27" s="15">
        <f t="shared" si="5"/>
        <v>5</v>
      </c>
      <c r="N27" s="16">
        <f t="shared" si="6"/>
        <v>2140.6</v>
      </c>
      <c r="O27" s="16">
        <f t="shared" si="7"/>
        <v>535.15</v>
      </c>
      <c r="P27" s="17" t="str">
        <f t="shared" si="8"/>
        <v>2025_1</v>
      </c>
      <c r="Q27" s="17" t="str">
        <f t="shared" si="9"/>
        <v>Não VIP</v>
      </c>
    </row>
    <row r="28" ht="22.5" customHeight="1">
      <c r="A28" s="9">
        <v>45697.0</v>
      </c>
      <c r="B28" s="10">
        <v>2982.0</v>
      </c>
      <c r="C28" s="11" t="s">
        <v>96</v>
      </c>
      <c r="D28" s="11" t="s">
        <v>43</v>
      </c>
      <c r="E28" s="11" t="s">
        <v>38</v>
      </c>
      <c r="F28" s="11" t="s">
        <v>68</v>
      </c>
      <c r="G28" s="12">
        <v>2.0</v>
      </c>
      <c r="H28" s="13">
        <v>2008.93</v>
      </c>
      <c r="I28" s="14">
        <f t="shared" si="1"/>
        <v>4017.86</v>
      </c>
      <c r="J28" s="15">
        <f t="shared" si="2"/>
        <v>2025</v>
      </c>
      <c r="K28" s="15">
        <f t="shared" si="3"/>
        <v>2</v>
      </c>
      <c r="L28" s="15">
        <f t="shared" si="4"/>
        <v>9</v>
      </c>
      <c r="M28" s="15">
        <f t="shared" si="5"/>
        <v>1</v>
      </c>
      <c r="N28" s="16">
        <f t="shared" si="6"/>
        <v>1607.144</v>
      </c>
      <c r="O28" s="16">
        <f t="shared" si="7"/>
        <v>401.786</v>
      </c>
      <c r="P28" s="17" t="str">
        <f t="shared" si="8"/>
        <v>2025_2</v>
      </c>
      <c r="Q28" s="17" t="str">
        <f t="shared" si="9"/>
        <v>Não VIP</v>
      </c>
    </row>
    <row r="29" ht="22.5" customHeight="1">
      <c r="A29" s="9">
        <v>45725.0</v>
      </c>
      <c r="B29" s="10">
        <v>1498.0</v>
      </c>
      <c r="C29" s="11" t="s">
        <v>97</v>
      </c>
      <c r="D29" s="11" t="s">
        <v>31</v>
      </c>
      <c r="E29" s="11" t="s">
        <v>28</v>
      </c>
      <c r="F29" s="11" t="s">
        <v>98</v>
      </c>
      <c r="G29" s="12">
        <v>3.0</v>
      </c>
      <c r="H29" s="13">
        <v>1257.06</v>
      </c>
      <c r="I29" s="14">
        <f t="shared" si="1"/>
        <v>3771.18</v>
      </c>
      <c r="J29" s="15">
        <f t="shared" si="2"/>
        <v>2025</v>
      </c>
      <c r="K29" s="15">
        <f t="shared" si="3"/>
        <v>3</v>
      </c>
      <c r="L29" s="15">
        <f t="shared" si="4"/>
        <v>9</v>
      </c>
      <c r="M29" s="15">
        <f t="shared" si="5"/>
        <v>1</v>
      </c>
      <c r="N29" s="16">
        <f t="shared" si="6"/>
        <v>1508.472</v>
      </c>
      <c r="O29" s="16">
        <f t="shared" si="7"/>
        <v>377.118</v>
      </c>
      <c r="P29" s="17" t="str">
        <f t="shared" si="8"/>
        <v>2025_3</v>
      </c>
      <c r="Q29" s="17" t="str">
        <f t="shared" si="9"/>
        <v>Não VIP</v>
      </c>
    </row>
    <row r="30" ht="22.5" customHeight="1">
      <c r="A30" s="9">
        <v>45786.0</v>
      </c>
      <c r="B30" s="10">
        <v>3360.0</v>
      </c>
      <c r="C30" s="11" t="s">
        <v>101</v>
      </c>
      <c r="D30" s="11" t="s">
        <v>27</v>
      </c>
      <c r="E30" s="11" t="s">
        <v>19</v>
      </c>
      <c r="F30" s="11" t="s">
        <v>58</v>
      </c>
      <c r="G30" s="12">
        <v>4.0</v>
      </c>
      <c r="H30" s="13">
        <v>2032.29</v>
      </c>
      <c r="I30" s="14">
        <f t="shared" si="1"/>
        <v>8129.16</v>
      </c>
      <c r="J30" s="15">
        <f t="shared" si="2"/>
        <v>2025</v>
      </c>
      <c r="K30" s="15">
        <f t="shared" si="3"/>
        <v>5</v>
      </c>
      <c r="L30" s="15">
        <f t="shared" si="4"/>
        <v>9</v>
      </c>
      <c r="M30" s="15">
        <f t="shared" si="5"/>
        <v>6</v>
      </c>
      <c r="N30" s="16">
        <f t="shared" si="6"/>
        <v>3251.664</v>
      </c>
      <c r="O30" s="16">
        <f t="shared" si="7"/>
        <v>812.916</v>
      </c>
      <c r="P30" s="17" t="str">
        <f t="shared" si="8"/>
        <v>2025_5</v>
      </c>
      <c r="Q30" s="17" t="str">
        <f t="shared" si="9"/>
        <v>Não VIP</v>
      </c>
    </row>
    <row r="31" ht="22.5" customHeight="1">
      <c r="A31" s="9">
        <v>45667.0</v>
      </c>
      <c r="B31" s="10">
        <v>5970.0</v>
      </c>
      <c r="C31" s="11" t="s">
        <v>102</v>
      </c>
      <c r="D31" s="11" t="s">
        <v>27</v>
      </c>
      <c r="E31" s="11" t="s">
        <v>19</v>
      </c>
      <c r="F31" s="11" t="s">
        <v>44</v>
      </c>
      <c r="G31" s="12">
        <v>2.0</v>
      </c>
      <c r="H31" s="13">
        <v>2631.91</v>
      </c>
      <c r="I31" s="14">
        <f t="shared" si="1"/>
        <v>5263.82</v>
      </c>
      <c r="J31" s="15">
        <f t="shared" si="2"/>
        <v>2025</v>
      </c>
      <c r="K31" s="15">
        <f t="shared" si="3"/>
        <v>1</v>
      </c>
      <c r="L31" s="15">
        <f t="shared" si="4"/>
        <v>10</v>
      </c>
      <c r="M31" s="15">
        <f t="shared" si="5"/>
        <v>6</v>
      </c>
      <c r="N31" s="16">
        <f t="shared" si="6"/>
        <v>2105.528</v>
      </c>
      <c r="O31" s="16">
        <f t="shared" si="7"/>
        <v>526.382</v>
      </c>
      <c r="P31" s="17" t="str">
        <f t="shared" si="8"/>
        <v>2025_1</v>
      </c>
      <c r="Q31" s="17" t="str">
        <f t="shared" si="9"/>
        <v>Não VIP</v>
      </c>
    </row>
    <row r="32" ht="22.5" customHeight="1">
      <c r="A32" s="9">
        <v>45726.0</v>
      </c>
      <c r="B32" s="10">
        <v>8421.0</v>
      </c>
      <c r="C32" s="11" t="s">
        <v>103</v>
      </c>
      <c r="D32" s="11" t="s">
        <v>65</v>
      </c>
      <c r="E32" s="11" t="s">
        <v>19</v>
      </c>
      <c r="F32" s="11" t="s">
        <v>20</v>
      </c>
      <c r="G32" s="12">
        <v>1.0</v>
      </c>
      <c r="H32" s="13">
        <v>841.55</v>
      </c>
      <c r="I32" s="14">
        <f t="shared" si="1"/>
        <v>841.55</v>
      </c>
      <c r="J32" s="15">
        <f t="shared" si="2"/>
        <v>2025</v>
      </c>
      <c r="K32" s="15">
        <f t="shared" si="3"/>
        <v>3</v>
      </c>
      <c r="L32" s="15">
        <f t="shared" si="4"/>
        <v>10</v>
      </c>
      <c r="M32" s="15">
        <f t="shared" si="5"/>
        <v>2</v>
      </c>
      <c r="N32" s="16">
        <f t="shared" si="6"/>
        <v>336.62</v>
      </c>
      <c r="O32" s="16">
        <f t="shared" si="7"/>
        <v>84.155</v>
      </c>
      <c r="P32" s="17" t="str">
        <f t="shared" si="8"/>
        <v>2025_3</v>
      </c>
      <c r="Q32" s="17" t="str">
        <f t="shared" si="9"/>
        <v>Não VIP</v>
      </c>
    </row>
    <row r="33" ht="22.5" customHeight="1">
      <c r="A33" s="9">
        <v>45757.0</v>
      </c>
      <c r="B33" s="10">
        <v>1305.0</v>
      </c>
      <c r="C33" s="11" t="s">
        <v>105</v>
      </c>
      <c r="D33" s="11" t="s">
        <v>43</v>
      </c>
      <c r="E33" s="11" t="s">
        <v>19</v>
      </c>
      <c r="F33" s="11" t="s">
        <v>41</v>
      </c>
      <c r="G33" s="12">
        <v>8.0</v>
      </c>
      <c r="H33" s="13">
        <v>624.63</v>
      </c>
      <c r="I33" s="14">
        <f t="shared" si="1"/>
        <v>4997.04</v>
      </c>
      <c r="J33" s="15">
        <f t="shared" si="2"/>
        <v>2025</v>
      </c>
      <c r="K33" s="15">
        <f t="shared" si="3"/>
        <v>4</v>
      </c>
      <c r="L33" s="15">
        <f t="shared" si="4"/>
        <v>10</v>
      </c>
      <c r="M33" s="15">
        <f t="shared" si="5"/>
        <v>5</v>
      </c>
      <c r="N33" s="16">
        <f t="shared" si="6"/>
        <v>1998.816</v>
      </c>
      <c r="O33" s="16">
        <f t="shared" si="7"/>
        <v>499.704</v>
      </c>
      <c r="P33" s="17" t="str">
        <f t="shared" si="8"/>
        <v>2025_4</v>
      </c>
      <c r="Q33" s="17" t="str">
        <f t="shared" si="9"/>
        <v>Não VIP</v>
      </c>
    </row>
    <row r="34" ht="22.5" customHeight="1">
      <c r="A34" s="9">
        <v>45787.0</v>
      </c>
      <c r="B34" s="10">
        <v>6399.0</v>
      </c>
      <c r="C34" s="11" t="s">
        <v>108</v>
      </c>
      <c r="D34" s="11" t="s">
        <v>31</v>
      </c>
      <c r="E34" s="11" t="s">
        <v>28</v>
      </c>
      <c r="F34" s="11" t="s">
        <v>29</v>
      </c>
      <c r="G34" s="12">
        <v>6.0</v>
      </c>
      <c r="H34" s="13">
        <v>523.59</v>
      </c>
      <c r="I34" s="14">
        <f t="shared" si="1"/>
        <v>3141.54</v>
      </c>
      <c r="J34" s="15">
        <f t="shared" si="2"/>
        <v>2025</v>
      </c>
      <c r="K34" s="15">
        <f t="shared" si="3"/>
        <v>5</v>
      </c>
      <c r="L34" s="15">
        <f t="shared" si="4"/>
        <v>10</v>
      </c>
      <c r="M34" s="15">
        <f t="shared" si="5"/>
        <v>7</v>
      </c>
      <c r="N34" s="16">
        <f t="shared" si="6"/>
        <v>1256.616</v>
      </c>
      <c r="O34" s="16">
        <f t="shared" si="7"/>
        <v>314.154</v>
      </c>
      <c r="P34" s="17" t="str">
        <f t="shared" si="8"/>
        <v>2025_5</v>
      </c>
      <c r="Q34" s="17" t="str">
        <f t="shared" si="9"/>
        <v>Não VIP</v>
      </c>
    </row>
    <row r="35" ht="22.5" customHeight="1">
      <c r="A35" s="9">
        <v>45818.0</v>
      </c>
      <c r="B35" s="10">
        <v>9812.0</v>
      </c>
      <c r="C35" s="11" t="s">
        <v>109</v>
      </c>
      <c r="D35" s="11" t="s">
        <v>22</v>
      </c>
      <c r="E35" s="11" t="s">
        <v>23</v>
      </c>
      <c r="F35" s="11" t="s">
        <v>24</v>
      </c>
      <c r="G35" s="12">
        <v>9.0</v>
      </c>
      <c r="H35" s="13">
        <v>934.59</v>
      </c>
      <c r="I35" s="14">
        <f t="shared" si="1"/>
        <v>8411.31</v>
      </c>
      <c r="J35" s="15">
        <f t="shared" si="2"/>
        <v>2025</v>
      </c>
      <c r="K35" s="15">
        <f t="shared" si="3"/>
        <v>6</v>
      </c>
      <c r="L35" s="15">
        <f t="shared" si="4"/>
        <v>10</v>
      </c>
      <c r="M35" s="15">
        <f t="shared" si="5"/>
        <v>3</v>
      </c>
      <c r="N35" s="16">
        <f t="shared" si="6"/>
        <v>3364.524</v>
      </c>
      <c r="O35" s="16">
        <f t="shared" si="7"/>
        <v>841.131</v>
      </c>
      <c r="P35" s="17" t="str">
        <f t="shared" si="8"/>
        <v>2025_6</v>
      </c>
      <c r="Q35" s="17" t="str">
        <f t="shared" si="9"/>
        <v>Não VIP</v>
      </c>
    </row>
    <row r="36" ht="22.5" customHeight="1">
      <c r="A36" s="9">
        <v>45818.0</v>
      </c>
      <c r="B36" s="10">
        <v>4273.0</v>
      </c>
      <c r="C36" s="11" t="s">
        <v>110</v>
      </c>
      <c r="D36" s="11" t="s">
        <v>43</v>
      </c>
      <c r="E36" s="11" t="s">
        <v>19</v>
      </c>
      <c r="F36" s="11" t="s">
        <v>58</v>
      </c>
      <c r="G36" s="12">
        <v>10.0</v>
      </c>
      <c r="H36" s="13">
        <v>746.31</v>
      </c>
      <c r="I36" s="14">
        <f t="shared" si="1"/>
        <v>7463.1</v>
      </c>
      <c r="J36" s="15">
        <f t="shared" si="2"/>
        <v>2025</v>
      </c>
      <c r="K36" s="15">
        <f t="shared" si="3"/>
        <v>6</v>
      </c>
      <c r="L36" s="15">
        <f t="shared" si="4"/>
        <v>10</v>
      </c>
      <c r="M36" s="15">
        <f t="shared" si="5"/>
        <v>3</v>
      </c>
      <c r="N36" s="16">
        <f t="shared" si="6"/>
        <v>2985.24</v>
      </c>
      <c r="O36" s="16">
        <f t="shared" si="7"/>
        <v>746.31</v>
      </c>
      <c r="P36" s="17" t="str">
        <f t="shared" si="8"/>
        <v>2025_6</v>
      </c>
      <c r="Q36" s="17" t="str">
        <f t="shared" si="9"/>
        <v>Não VIP</v>
      </c>
    </row>
    <row r="37" ht="22.5" customHeight="1">
      <c r="A37" s="9">
        <v>45668.0</v>
      </c>
      <c r="B37" s="10">
        <v>9652.0</v>
      </c>
      <c r="C37" s="11" t="s">
        <v>111</v>
      </c>
      <c r="D37" s="11" t="s">
        <v>22</v>
      </c>
      <c r="E37" s="11" t="s">
        <v>32</v>
      </c>
      <c r="F37" s="11" t="s">
        <v>56</v>
      </c>
      <c r="G37" s="12">
        <v>1.0</v>
      </c>
      <c r="H37" s="13">
        <v>1754.65</v>
      </c>
      <c r="I37" s="14">
        <f t="shared" si="1"/>
        <v>1754.65</v>
      </c>
      <c r="J37" s="15">
        <f t="shared" si="2"/>
        <v>2025</v>
      </c>
      <c r="K37" s="15">
        <f t="shared" si="3"/>
        <v>1</v>
      </c>
      <c r="L37" s="15">
        <f t="shared" si="4"/>
        <v>11</v>
      </c>
      <c r="M37" s="15">
        <f t="shared" si="5"/>
        <v>7</v>
      </c>
      <c r="N37" s="16">
        <f t="shared" si="6"/>
        <v>701.86</v>
      </c>
      <c r="O37" s="16">
        <f t="shared" si="7"/>
        <v>175.465</v>
      </c>
      <c r="P37" s="17" t="str">
        <f t="shared" si="8"/>
        <v>2025_1</v>
      </c>
      <c r="Q37" s="17" t="str">
        <f t="shared" si="9"/>
        <v>Não VIP</v>
      </c>
    </row>
    <row r="38" ht="22.5" customHeight="1">
      <c r="A38" s="9">
        <v>45669.0</v>
      </c>
      <c r="B38" s="10">
        <v>4728.0</v>
      </c>
      <c r="C38" s="11" t="s">
        <v>114</v>
      </c>
      <c r="D38" s="11" t="s">
        <v>22</v>
      </c>
      <c r="E38" s="11" t="s">
        <v>23</v>
      </c>
      <c r="F38" s="11" t="s">
        <v>35</v>
      </c>
      <c r="G38" s="12">
        <v>5.0</v>
      </c>
      <c r="H38" s="13">
        <v>1835.12</v>
      </c>
      <c r="I38" s="14">
        <f t="shared" si="1"/>
        <v>9175.6</v>
      </c>
      <c r="J38" s="15">
        <f t="shared" si="2"/>
        <v>2025</v>
      </c>
      <c r="K38" s="15">
        <f t="shared" si="3"/>
        <v>1</v>
      </c>
      <c r="L38" s="15">
        <f t="shared" si="4"/>
        <v>12</v>
      </c>
      <c r="M38" s="15">
        <f t="shared" si="5"/>
        <v>1</v>
      </c>
      <c r="N38" s="16">
        <f t="shared" si="6"/>
        <v>3670.24</v>
      </c>
      <c r="O38" s="16">
        <f t="shared" si="7"/>
        <v>917.56</v>
      </c>
      <c r="P38" s="17" t="str">
        <f t="shared" si="8"/>
        <v>2025_1</v>
      </c>
      <c r="Q38" s="17" t="str">
        <f t="shared" si="9"/>
        <v>Não VIP</v>
      </c>
    </row>
    <row r="39" ht="22.5" customHeight="1">
      <c r="A39" s="9">
        <v>45669.0</v>
      </c>
      <c r="B39" s="10">
        <v>9550.0</v>
      </c>
      <c r="C39" s="11" t="s">
        <v>115</v>
      </c>
      <c r="D39" s="11" t="s">
        <v>31</v>
      </c>
      <c r="E39" s="11" t="s">
        <v>28</v>
      </c>
      <c r="F39" s="11" t="s">
        <v>76</v>
      </c>
      <c r="G39" s="12">
        <v>4.0</v>
      </c>
      <c r="H39" s="13">
        <v>1520.8</v>
      </c>
      <c r="I39" s="14">
        <f t="shared" si="1"/>
        <v>6083.2</v>
      </c>
      <c r="J39" s="15">
        <f t="shared" si="2"/>
        <v>2025</v>
      </c>
      <c r="K39" s="15">
        <f t="shared" si="3"/>
        <v>1</v>
      </c>
      <c r="L39" s="15">
        <f t="shared" si="4"/>
        <v>12</v>
      </c>
      <c r="M39" s="15">
        <f t="shared" si="5"/>
        <v>1</v>
      </c>
      <c r="N39" s="16">
        <f t="shared" si="6"/>
        <v>2433.28</v>
      </c>
      <c r="O39" s="16">
        <f t="shared" si="7"/>
        <v>608.32</v>
      </c>
      <c r="P39" s="17" t="str">
        <f t="shared" si="8"/>
        <v>2025_1</v>
      </c>
      <c r="Q39" s="17" t="str">
        <f t="shared" si="9"/>
        <v>Não VIP</v>
      </c>
    </row>
    <row r="40" ht="22.5" customHeight="1">
      <c r="A40" s="9">
        <v>45700.0</v>
      </c>
      <c r="B40" s="10">
        <v>9128.0</v>
      </c>
      <c r="C40" s="11" t="s">
        <v>117</v>
      </c>
      <c r="D40" s="11" t="s">
        <v>65</v>
      </c>
      <c r="E40" s="11" t="s">
        <v>32</v>
      </c>
      <c r="F40" s="11" t="s">
        <v>78</v>
      </c>
      <c r="G40" s="12">
        <v>6.0</v>
      </c>
      <c r="H40" s="13">
        <v>892.65</v>
      </c>
      <c r="I40" s="14">
        <f t="shared" si="1"/>
        <v>5355.9</v>
      </c>
      <c r="J40" s="15">
        <f t="shared" si="2"/>
        <v>2025</v>
      </c>
      <c r="K40" s="15">
        <f t="shared" si="3"/>
        <v>2</v>
      </c>
      <c r="L40" s="15">
        <f t="shared" si="4"/>
        <v>12</v>
      </c>
      <c r="M40" s="15">
        <f t="shared" si="5"/>
        <v>4</v>
      </c>
      <c r="N40" s="16">
        <f t="shared" si="6"/>
        <v>2142.36</v>
      </c>
      <c r="O40" s="16">
        <f t="shared" si="7"/>
        <v>535.59</v>
      </c>
      <c r="P40" s="17" t="str">
        <f t="shared" si="8"/>
        <v>2025_2</v>
      </c>
      <c r="Q40" s="17" t="str">
        <f t="shared" si="9"/>
        <v>Não VIP</v>
      </c>
    </row>
    <row r="41" ht="22.5" customHeight="1">
      <c r="A41" s="9">
        <v>45728.0</v>
      </c>
      <c r="B41" s="10">
        <v>4011.0</v>
      </c>
      <c r="C41" s="11" t="s">
        <v>118</v>
      </c>
      <c r="D41" s="11" t="s">
        <v>65</v>
      </c>
      <c r="E41" s="11" t="s">
        <v>19</v>
      </c>
      <c r="F41" s="11" t="s">
        <v>46</v>
      </c>
      <c r="G41" s="12">
        <v>2.0</v>
      </c>
      <c r="H41" s="13">
        <v>801.95</v>
      </c>
      <c r="I41" s="14">
        <f t="shared" si="1"/>
        <v>1603.9</v>
      </c>
      <c r="J41" s="15">
        <f t="shared" si="2"/>
        <v>2025</v>
      </c>
      <c r="K41" s="15">
        <f t="shared" si="3"/>
        <v>3</v>
      </c>
      <c r="L41" s="15">
        <f t="shared" si="4"/>
        <v>12</v>
      </c>
      <c r="M41" s="15">
        <f t="shared" si="5"/>
        <v>4</v>
      </c>
      <c r="N41" s="16">
        <f t="shared" si="6"/>
        <v>641.56</v>
      </c>
      <c r="O41" s="16">
        <f t="shared" si="7"/>
        <v>160.39</v>
      </c>
      <c r="P41" s="17" t="str">
        <f t="shared" si="8"/>
        <v>2025_3</v>
      </c>
      <c r="Q41" s="17" t="str">
        <f t="shared" si="9"/>
        <v>Não VIP</v>
      </c>
    </row>
    <row r="42" ht="22.5" customHeight="1">
      <c r="A42" s="9">
        <v>45759.0</v>
      </c>
      <c r="B42" s="10">
        <v>9365.0</v>
      </c>
      <c r="C42" s="11" t="s">
        <v>120</v>
      </c>
      <c r="D42" s="11" t="s">
        <v>22</v>
      </c>
      <c r="E42" s="11" t="s">
        <v>32</v>
      </c>
      <c r="F42" s="11" t="s">
        <v>85</v>
      </c>
      <c r="G42" s="12">
        <v>8.0</v>
      </c>
      <c r="H42" s="13">
        <v>976.21</v>
      </c>
      <c r="I42" s="14">
        <f t="shared" si="1"/>
        <v>7809.68</v>
      </c>
      <c r="J42" s="15">
        <f t="shared" si="2"/>
        <v>2025</v>
      </c>
      <c r="K42" s="15">
        <f t="shared" si="3"/>
        <v>4</v>
      </c>
      <c r="L42" s="15">
        <f t="shared" si="4"/>
        <v>12</v>
      </c>
      <c r="M42" s="15">
        <f t="shared" si="5"/>
        <v>7</v>
      </c>
      <c r="N42" s="16">
        <f t="shared" si="6"/>
        <v>3123.872</v>
      </c>
      <c r="O42" s="16">
        <f t="shared" si="7"/>
        <v>780.968</v>
      </c>
      <c r="P42" s="17" t="str">
        <f t="shared" si="8"/>
        <v>2025_4</v>
      </c>
      <c r="Q42" s="17" t="str">
        <f t="shared" si="9"/>
        <v>Não VIP</v>
      </c>
    </row>
    <row r="43" ht="22.5" customHeight="1">
      <c r="A43" s="9">
        <v>45638.0</v>
      </c>
      <c r="B43" s="10">
        <v>3485.0</v>
      </c>
      <c r="C43" s="11" t="s">
        <v>122</v>
      </c>
      <c r="D43" s="11" t="s">
        <v>37</v>
      </c>
      <c r="E43" s="11" t="s">
        <v>38</v>
      </c>
      <c r="F43" s="11" t="s">
        <v>39</v>
      </c>
      <c r="G43" s="12">
        <v>2.0</v>
      </c>
      <c r="H43" s="13">
        <v>294.04</v>
      </c>
      <c r="I43" s="14">
        <f t="shared" si="1"/>
        <v>588.08</v>
      </c>
      <c r="J43" s="15">
        <f t="shared" si="2"/>
        <v>2024</v>
      </c>
      <c r="K43" s="15">
        <f t="shared" si="3"/>
        <v>12</v>
      </c>
      <c r="L43" s="15">
        <f t="shared" si="4"/>
        <v>12</v>
      </c>
      <c r="M43" s="15">
        <f t="shared" si="5"/>
        <v>5</v>
      </c>
      <c r="N43" s="16">
        <f t="shared" si="6"/>
        <v>235.232</v>
      </c>
      <c r="O43" s="16">
        <f t="shared" si="7"/>
        <v>58.808</v>
      </c>
      <c r="P43" s="17" t="str">
        <f t="shared" si="8"/>
        <v>2024_12</v>
      </c>
      <c r="Q43" s="17" t="str">
        <f t="shared" si="9"/>
        <v>Não VIP</v>
      </c>
    </row>
    <row r="44" ht="22.5" customHeight="1">
      <c r="A44" s="9">
        <v>45670.0</v>
      </c>
      <c r="B44" s="10">
        <v>6946.0</v>
      </c>
      <c r="C44" s="11" t="s">
        <v>124</v>
      </c>
      <c r="D44" s="11" t="s">
        <v>31</v>
      </c>
      <c r="E44" s="11" t="s">
        <v>23</v>
      </c>
      <c r="F44" s="11" t="s">
        <v>125</v>
      </c>
      <c r="G44" s="12">
        <v>7.0</v>
      </c>
      <c r="H44" s="13">
        <v>197.93</v>
      </c>
      <c r="I44" s="14">
        <f t="shared" si="1"/>
        <v>1385.51</v>
      </c>
      <c r="J44" s="15">
        <f t="shared" si="2"/>
        <v>2025</v>
      </c>
      <c r="K44" s="15">
        <f t="shared" si="3"/>
        <v>1</v>
      </c>
      <c r="L44" s="15">
        <f t="shared" si="4"/>
        <v>13</v>
      </c>
      <c r="M44" s="15">
        <f t="shared" si="5"/>
        <v>2</v>
      </c>
      <c r="N44" s="16">
        <f t="shared" si="6"/>
        <v>554.204</v>
      </c>
      <c r="O44" s="16">
        <f t="shared" si="7"/>
        <v>138.551</v>
      </c>
      <c r="P44" s="17" t="str">
        <f t="shared" si="8"/>
        <v>2025_1</v>
      </c>
      <c r="Q44" s="17" t="str">
        <f t="shared" si="9"/>
        <v>Não VIP</v>
      </c>
    </row>
    <row r="45" ht="22.5" customHeight="1">
      <c r="A45" s="9">
        <v>45670.0</v>
      </c>
      <c r="B45" s="10">
        <v>2482.0</v>
      </c>
      <c r="C45" s="11" t="s">
        <v>126</v>
      </c>
      <c r="D45" s="11" t="s">
        <v>27</v>
      </c>
      <c r="E45" s="11" t="s">
        <v>23</v>
      </c>
      <c r="F45" s="11" t="s">
        <v>35</v>
      </c>
      <c r="G45" s="12">
        <v>2.0</v>
      </c>
      <c r="H45" s="13">
        <v>999.76</v>
      </c>
      <c r="I45" s="14">
        <f t="shared" si="1"/>
        <v>1999.52</v>
      </c>
      <c r="J45" s="15">
        <f t="shared" si="2"/>
        <v>2025</v>
      </c>
      <c r="K45" s="15">
        <f t="shared" si="3"/>
        <v>1</v>
      </c>
      <c r="L45" s="15">
        <f t="shared" si="4"/>
        <v>13</v>
      </c>
      <c r="M45" s="15">
        <f t="shared" si="5"/>
        <v>2</v>
      </c>
      <c r="N45" s="16">
        <f t="shared" si="6"/>
        <v>799.808</v>
      </c>
      <c r="O45" s="16">
        <f t="shared" si="7"/>
        <v>199.952</v>
      </c>
      <c r="P45" s="17" t="str">
        <f t="shared" si="8"/>
        <v>2025_1</v>
      </c>
      <c r="Q45" s="17" t="str">
        <f t="shared" si="9"/>
        <v>Não VIP</v>
      </c>
    </row>
    <row r="46" ht="22.5" customHeight="1">
      <c r="A46" s="9">
        <v>45670.0</v>
      </c>
      <c r="B46" s="10">
        <v>7530.0</v>
      </c>
      <c r="C46" s="11" t="s">
        <v>127</v>
      </c>
      <c r="D46" s="11" t="s">
        <v>43</v>
      </c>
      <c r="E46" s="11" t="s">
        <v>38</v>
      </c>
      <c r="F46" s="11" t="s">
        <v>60</v>
      </c>
      <c r="G46" s="12">
        <v>2.0</v>
      </c>
      <c r="H46" s="13">
        <v>2691.05</v>
      </c>
      <c r="I46" s="14">
        <f t="shared" si="1"/>
        <v>5382.1</v>
      </c>
      <c r="J46" s="15">
        <f t="shared" si="2"/>
        <v>2025</v>
      </c>
      <c r="K46" s="15">
        <f t="shared" si="3"/>
        <v>1</v>
      </c>
      <c r="L46" s="15">
        <f t="shared" si="4"/>
        <v>13</v>
      </c>
      <c r="M46" s="15">
        <f t="shared" si="5"/>
        <v>2</v>
      </c>
      <c r="N46" s="16">
        <f t="shared" si="6"/>
        <v>2152.84</v>
      </c>
      <c r="O46" s="16">
        <f t="shared" si="7"/>
        <v>538.21</v>
      </c>
      <c r="P46" s="17" t="str">
        <f t="shared" si="8"/>
        <v>2025_1</v>
      </c>
      <c r="Q46" s="17" t="str">
        <f t="shared" si="9"/>
        <v>Não VIP</v>
      </c>
    </row>
    <row r="47" ht="22.5" customHeight="1">
      <c r="A47" s="9">
        <v>45760.0</v>
      </c>
      <c r="B47" s="10">
        <v>6357.0</v>
      </c>
      <c r="C47" s="11" t="s">
        <v>129</v>
      </c>
      <c r="D47" s="11" t="s">
        <v>18</v>
      </c>
      <c r="E47" s="11" t="s">
        <v>19</v>
      </c>
      <c r="F47" s="11" t="s">
        <v>44</v>
      </c>
      <c r="G47" s="12">
        <v>7.0</v>
      </c>
      <c r="H47" s="13">
        <v>1150.43</v>
      </c>
      <c r="I47" s="14">
        <f t="shared" si="1"/>
        <v>8053.01</v>
      </c>
      <c r="J47" s="15">
        <f t="shared" si="2"/>
        <v>2025</v>
      </c>
      <c r="K47" s="15">
        <f t="shared" si="3"/>
        <v>4</v>
      </c>
      <c r="L47" s="15">
        <f t="shared" si="4"/>
        <v>13</v>
      </c>
      <c r="M47" s="15">
        <f t="shared" si="5"/>
        <v>1</v>
      </c>
      <c r="N47" s="16">
        <f t="shared" si="6"/>
        <v>3221.204</v>
      </c>
      <c r="O47" s="16">
        <f t="shared" si="7"/>
        <v>805.301</v>
      </c>
      <c r="P47" s="17" t="str">
        <f t="shared" si="8"/>
        <v>2025_4</v>
      </c>
      <c r="Q47" s="17" t="str">
        <f t="shared" si="9"/>
        <v>Não VIP</v>
      </c>
    </row>
    <row r="48" ht="22.5" customHeight="1">
      <c r="A48" s="9">
        <v>45760.0</v>
      </c>
      <c r="B48" s="10">
        <v>7029.0</v>
      </c>
      <c r="C48" s="11" t="s">
        <v>130</v>
      </c>
      <c r="D48" s="11" t="s">
        <v>22</v>
      </c>
      <c r="E48" s="11" t="s">
        <v>19</v>
      </c>
      <c r="F48" s="11" t="s">
        <v>20</v>
      </c>
      <c r="G48" s="12">
        <v>9.0</v>
      </c>
      <c r="H48" s="13">
        <v>491.42</v>
      </c>
      <c r="I48" s="14">
        <f t="shared" si="1"/>
        <v>4422.78</v>
      </c>
      <c r="J48" s="15">
        <f t="shared" si="2"/>
        <v>2025</v>
      </c>
      <c r="K48" s="15">
        <f t="shared" si="3"/>
        <v>4</v>
      </c>
      <c r="L48" s="15">
        <f t="shared" si="4"/>
        <v>13</v>
      </c>
      <c r="M48" s="15">
        <f t="shared" si="5"/>
        <v>1</v>
      </c>
      <c r="N48" s="16">
        <f t="shared" si="6"/>
        <v>1769.112</v>
      </c>
      <c r="O48" s="16">
        <f t="shared" si="7"/>
        <v>442.278</v>
      </c>
      <c r="P48" s="17" t="str">
        <f t="shared" si="8"/>
        <v>2025_4</v>
      </c>
      <c r="Q48" s="17" t="str">
        <f t="shared" si="9"/>
        <v>Não VIP</v>
      </c>
    </row>
    <row r="49" ht="22.5" customHeight="1">
      <c r="A49" s="9">
        <v>45760.0</v>
      </c>
      <c r="B49" s="10">
        <v>5554.0</v>
      </c>
      <c r="C49" s="11" t="s">
        <v>131</v>
      </c>
      <c r="D49" s="11" t="s">
        <v>65</v>
      </c>
      <c r="E49" s="11" t="s">
        <v>23</v>
      </c>
      <c r="F49" s="11" t="s">
        <v>52</v>
      </c>
      <c r="G49" s="12">
        <v>3.0</v>
      </c>
      <c r="H49" s="13">
        <v>2495.1</v>
      </c>
      <c r="I49" s="14">
        <f t="shared" si="1"/>
        <v>7485.3</v>
      </c>
      <c r="J49" s="15">
        <f t="shared" si="2"/>
        <v>2025</v>
      </c>
      <c r="K49" s="15">
        <f t="shared" si="3"/>
        <v>4</v>
      </c>
      <c r="L49" s="15">
        <f t="shared" si="4"/>
        <v>13</v>
      </c>
      <c r="M49" s="15">
        <f t="shared" si="5"/>
        <v>1</v>
      </c>
      <c r="N49" s="16">
        <f t="shared" si="6"/>
        <v>2994.12</v>
      </c>
      <c r="O49" s="16">
        <f t="shared" si="7"/>
        <v>748.53</v>
      </c>
      <c r="P49" s="17" t="str">
        <f t="shared" si="8"/>
        <v>2025_4</v>
      </c>
      <c r="Q49" s="17" t="str">
        <f t="shared" si="9"/>
        <v>Não VIP</v>
      </c>
    </row>
    <row r="50" ht="22.5" customHeight="1">
      <c r="A50" s="9">
        <v>45760.0</v>
      </c>
      <c r="B50" s="10">
        <v>1639.0</v>
      </c>
      <c r="C50" s="11" t="s">
        <v>132</v>
      </c>
      <c r="D50" s="11" t="s">
        <v>18</v>
      </c>
      <c r="E50" s="11" t="s">
        <v>19</v>
      </c>
      <c r="F50" s="11" t="s">
        <v>20</v>
      </c>
      <c r="G50" s="12">
        <v>3.0</v>
      </c>
      <c r="H50" s="13">
        <v>1042.55</v>
      </c>
      <c r="I50" s="14">
        <f t="shared" si="1"/>
        <v>3127.65</v>
      </c>
      <c r="J50" s="15">
        <f t="shared" si="2"/>
        <v>2025</v>
      </c>
      <c r="K50" s="15">
        <f t="shared" si="3"/>
        <v>4</v>
      </c>
      <c r="L50" s="15">
        <f t="shared" si="4"/>
        <v>13</v>
      </c>
      <c r="M50" s="15">
        <f t="shared" si="5"/>
        <v>1</v>
      </c>
      <c r="N50" s="16">
        <f t="shared" si="6"/>
        <v>1251.06</v>
      </c>
      <c r="O50" s="16">
        <f t="shared" si="7"/>
        <v>312.765</v>
      </c>
      <c r="P50" s="17" t="str">
        <f t="shared" si="8"/>
        <v>2025_4</v>
      </c>
      <c r="Q50" s="17" t="str">
        <f t="shared" si="9"/>
        <v>Não VIP</v>
      </c>
    </row>
    <row r="51" ht="22.5" customHeight="1">
      <c r="A51" s="9">
        <v>45639.0</v>
      </c>
      <c r="B51" s="10">
        <v>8413.0</v>
      </c>
      <c r="C51" s="11" t="s">
        <v>133</v>
      </c>
      <c r="D51" s="11" t="s">
        <v>37</v>
      </c>
      <c r="E51" s="11" t="s">
        <v>38</v>
      </c>
      <c r="F51" s="11" t="s">
        <v>68</v>
      </c>
      <c r="G51" s="12">
        <v>7.0</v>
      </c>
      <c r="H51" s="13">
        <v>215.83</v>
      </c>
      <c r="I51" s="14">
        <f t="shared" si="1"/>
        <v>1510.81</v>
      </c>
      <c r="J51" s="15">
        <f t="shared" si="2"/>
        <v>2024</v>
      </c>
      <c r="K51" s="15">
        <f t="shared" si="3"/>
        <v>12</v>
      </c>
      <c r="L51" s="15">
        <f t="shared" si="4"/>
        <v>13</v>
      </c>
      <c r="M51" s="15">
        <f t="shared" si="5"/>
        <v>6</v>
      </c>
      <c r="N51" s="16">
        <f t="shared" si="6"/>
        <v>604.324</v>
      </c>
      <c r="O51" s="16">
        <f t="shared" si="7"/>
        <v>151.081</v>
      </c>
      <c r="P51" s="17" t="str">
        <f t="shared" si="8"/>
        <v>2024_12</v>
      </c>
      <c r="Q51" s="17" t="str">
        <f t="shared" si="9"/>
        <v>Não VIP</v>
      </c>
    </row>
    <row r="52" ht="22.5" customHeight="1">
      <c r="A52" s="9">
        <v>45702.0</v>
      </c>
      <c r="B52" s="10">
        <v>5627.0</v>
      </c>
      <c r="C52" s="11" t="s">
        <v>134</v>
      </c>
      <c r="D52" s="11" t="s">
        <v>22</v>
      </c>
      <c r="E52" s="11" t="s">
        <v>38</v>
      </c>
      <c r="F52" s="11" t="s">
        <v>66</v>
      </c>
      <c r="G52" s="12">
        <v>3.0</v>
      </c>
      <c r="H52" s="13">
        <v>390.42</v>
      </c>
      <c r="I52" s="14">
        <f t="shared" si="1"/>
        <v>1171.26</v>
      </c>
      <c r="J52" s="15">
        <f t="shared" si="2"/>
        <v>2025</v>
      </c>
      <c r="K52" s="15">
        <f t="shared" si="3"/>
        <v>2</v>
      </c>
      <c r="L52" s="15">
        <f t="shared" si="4"/>
        <v>14</v>
      </c>
      <c r="M52" s="15">
        <f t="shared" si="5"/>
        <v>6</v>
      </c>
      <c r="N52" s="16">
        <f t="shared" si="6"/>
        <v>468.504</v>
      </c>
      <c r="O52" s="16">
        <f t="shared" si="7"/>
        <v>117.126</v>
      </c>
      <c r="P52" s="17" t="str">
        <f t="shared" si="8"/>
        <v>2025_2</v>
      </c>
      <c r="Q52" s="17" t="str">
        <f t="shared" si="9"/>
        <v>Não VIP</v>
      </c>
    </row>
    <row r="53" ht="22.5" customHeight="1">
      <c r="A53" s="9">
        <v>45730.0</v>
      </c>
      <c r="B53" s="10">
        <v>2976.0</v>
      </c>
      <c r="C53" s="11" t="s">
        <v>136</v>
      </c>
      <c r="D53" s="11" t="s">
        <v>65</v>
      </c>
      <c r="E53" s="11" t="s">
        <v>32</v>
      </c>
      <c r="F53" s="11" t="s">
        <v>78</v>
      </c>
      <c r="G53" s="12">
        <v>7.0</v>
      </c>
      <c r="H53" s="13">
        <v>558.37</v>
      </c>
      <c r="I53" s="14">
        <f t="shared" si="1"/>
        <v>3908.59</v>
      </c>
      <c r="J53" s="15">
        <f t="shared" si="2"/>
        <v>2025</v>
      </c>
      <c r="K53" s="15">
        <f t="shared" si="3"/>
        <v>3</v>
      </c>
      <c r="L53" s="15">
        <f t="shared" si="4"/>
        <v>14</v>
      </c>
      <c r="M53" s="15">
        <f t="shared" si="5"/>
        <v>6</v>
      </c>
      <c r="N53" s="16">
        <f t="shared" si="6"/>
        <v>1563.436</v>
      </c>
      <c r="O53" s="16">
        <f t="shared" si="7"/>
        <v>390.859</v>
      </c>
      <c r="P53" s="17" t="str">
        <f t="shared" si="8"/>
        <v>2025_3</v>
      </c>
      <c r="Q53" s="17" t="str">
        <f t="shared" si="9"/>
        <v>Não VIP</v>
      </c>
    </row>
    <row r="54" ht="22.5" customHeight="1">
      <c r="A54" s="9">
        <v>45640.0</v>
      </c>
      <c r="B54" s="10">
        <v>1162.0</v>
      </c>
      <c r="C54" s="11" t="s">
        <v>137</v>
      </c>
      <c r="D54" s="11" t="s">
        <v>27</v>
      </c>
      <c r="E54" s="11" t="s">
        <v>32</v>
      </c>
      <c r="F54" s="11" t="s">
        <v>85</v>
      </c>
      <c r="G54" s="12">
        <v>8.0</v>
      </c>
      <c r="H54" s="13">
        <v>1148.98</v>
      </c>
      <c r="I54" s="14">
        <f t="shared" si="1"/>
        <v>9191.84</v>
      </c>
      <c r="J54" s="15">
        <f t="shared" si="2"/>
        <v>2024</v>
      </c>
      <c r="K54" s="15">
        <f t="shared" si="3"/>
        <v>12</v>
      </c>
      <c r="L54" s="15">
        <f t="shared" si="4"/>
        <v>14</v>
      </c>
      <c r="M54" s="15">
        <f t="shared" si="5"/>
        <v>7</v>
      </c>
      <c r="N54" s="16">
        <f t="shared" si="6"/>
        <v>3676.736</v>
      </c>
      <c r="O54" s="16">
        <f t="shared" si="7"/>
        <v>919.184</v>
      </c>
      <c r="P54" s="17" t="str">
        <f t="shared" si="8"/>
        <v>2024_12</v>
      </c>
      <c r="Q54" s="17" t="str">
        <f t="shared" si="9"/>
        <v>Não VIP</v>
      </c>
    </row>
    <row r="55" ht="22.5" customHeight="1">
      <c r="A55" s="9">
        <v>45641.0</v>
      </c>
      <c r="B55" s="10">
        <v>7336.0</v>
      </c>
      <c r="C55" s="11" t="s">
        <v>143</v>
      </c>
      <c r="D55" s="11" t="s">
        <v>18</v>
      </c>
      <c r="E55" s="11" t="s">
        <v>32</v>
      </c>
      <c r="F55" s="11" t="s">
        <v>56</v>
      </c>
      <c r="G55" s="12">
        <v>3.0</v>
      </c>
      <c r="H55" s="13">
        <v>2208.48</v>
      </c>
      <c r="I55" s="14">
        <f t="shared" si="1"/>
        <v>6625.44</v>
      </c>
      <c r="J55" s="15">
        <f t="shared" si="2"/>
        <v>2024</v>
      </c>
      <c r="K55" s="15">
        <f t="shared" si="3"/>
        <v>12</v>
      </c>
      <c r="L55" s="15">
        <f t="shared" si="4"/>
        <v>15</v>
      </c>
      <c r="M55" s="15">
        <f t="shared" si="5"/>
        <v>1</v>
      </c>
      <c r="N55" s="16">
        <f t="shared" si="6"/>
        <v>2650.176</v>
      </c>
      <c r="O55" s="16">
        <f t="shared" si="7"/>
        <v>662.544</v>
      </c>
      <c r="P55" s="17" t="str">
        <f t="shared" si="8"/>
        <v>2024_12</v>
      </c>
      <c r="Q55" s="17" t="str">
        <f t="shared" si="9"/>
        <v>Não VIP</v>
      </c>
    </row>
    <row r="56" ht="22.5" customHeight="1">
      <c r="A56" s="9">
        <v>45641.0</v>
      </c>
      <c r="B56" s="10">
        <v>8798.0</v>
      </c>
      <c r="C56" s="11" t="s">
        <v>144</v>
      </c>
      <c r="D56" s="11" t="s">
        <v>37</v>
      </c>
      <c r="E56" s="11" t="s">
        <v>28</v>
      </c>
      <c r="F56" s="11" t="s">
        <v>48</v>
      </c>
      <c r="G56" s="12">
        <v>6.0</v>
      </c>
      <c r="H56" s="13">
        <v>1141.24</v>
      </c>
      <c r="I56" s="14">
        <f t="shared" si="1"/>
        <v>6847.44</v>
      </c>
      <c r="J56" s="15">
        <f t="shared" si="2"/>
        <v>2024</v>
      </c>
      <c r="K56" s="15">
        <f t="shared" si="3"/>
        <v>12</v>
      </c>
      <c r="L56" s="15">
        <f t="shared" si="4"/>
        <v>15</v>
      </c>
      <c r="M56" s="15">
        <f t="shared" si="5"/>
        <v>1</v>
      </c>
      <c r="N56" s="16">
        <f t="shared" si="6"/>
        <v>2738.976</v>
      </c>
      <c r="O56" s="16">
        <f t="shared" si="7"/>
        <v>684.744</v>
      </c>
      <c r="P56" s="17" t="str">
        <f t="shared" si="8"/>
        <v>2024_12</v>
      </c>
      <c r="Q56" s="17" t="str">
        <f t="shared" si="9"/>
        <v>Não VIP</v>
      </c>
    </row>
    <row r="57" ht="22.5" customHeight="1">
      <c r="A57" s="9">
        <v>45641.0</v>
      </c>
      <c r="B57" s="10">
        <v>3868.0</v>
      </c>
      <c r="C57" s="11" t="s">
        <v>145</v>
      </c>
      <c r="D57" s="11" t="s">
        <v>18</v>
      </c>
      <c r="E57" s="11" t="s">
        <v>28</v>
      </c>
      <c r="F57" s="11" t="s">
        <v>50</v>
      </c>
      <c r="G57" s="12">
        <v>4.0</v>
      </c>
      <c r="H57" s="13">
        <v>1069.52</v>
      </c>
      <c r="I57" s="14">
        <f t="shared" si="1"/>
        <v>4278.08</v>
      </c>
      <c r="J57" s="15">
        <f t="shared" si="2"/>
        <v>2024</v>
      </c>
      <c r="K57" s="15">
        <f t="shared" si="3"/>
        <v>12</v>
      </c>
      <c r="L57" s="15">
        <f t="shared" si="4"/>
        <v>15</v>
      </c>
      <c r="M57" s="15">
        <f t="shared" si="5"/>
        <v>1</v>
      </c>
      <c r="N57" s="16">
        <f t="shared" si="6"/>
        <v>1711.232</v>
      </c>
      <c r="O57" s="16">
        <f t="shared" si="7"/>
        <v>427.808</v>
      </c>
      <c r="P57" s="17" t="str">
        <f t="shared" si="8"/>
        <v>2024_12</v>
      </c>
      <c r="Q57" s="17" t="str">
        <f t="shared" si="9"/>
        <v>Não VIP</v>
      </c>
    </row>
    <row r="58" ht="22.5" customHeight="1">
      <c r="A58" s="9">
        <v>45732.0</v>
      </c>
      <c r="B58" s="10">
        <v>3349.0</v>
      </c>
      <c r="C58" s="11" t="s">
        <v>146</v>
      </c>
      <c r="D58" s="11" t="s">
        <v>43</v>
      </c>
      <c r="E58" s="11" t="s">
        <v>38</v>
      </c>
      <c r="F58" s="11" t="s">
        <v>66</v>
      </c>
      <c r="G58" s="12">
        <v>8.0</v>
      </c>
      <c r="H58" s="13">
        <v>529.78</v>
      </c>
      <c r="I58" s="14">
        <f t="shared" si="1"/>
        <v>4238.24</v>
      </c>
      <c r="J58" s="15">
        <f t="shared" si="2"/>
        <v>2025</v>
      </c>
      <c r="K58" s="15">
        <f t="shared" si="3"/>
        <v>3</v>
      </c>
      <c r="L58" s="15">
        <f t="shared" si="4"/>
        <v>16</v>
      </c>
      <c r="M58" s="15">
        <f t="shared" si="5"/>
        <v>1</v>
      </c>
      <c r="N58" s="16">
        <f t="shared" si="6"/>
        <v>1695.296</v>
      </c>
      <c r="O58" s="16">
        <f t="shared" si="7"/>
        <v>423.824</v>
      </c>
      <c r="P58" s="17" t="str">
        <f t="shared" si="8"/>
        <v>2025_3</v>
      </c>
      <c r="Q58" s="17" t="str">
        <f t="shared" si="9"/>
        <v>Não VIP</v>
      </c>
    </row>
    <row r="59" ht="22.5" customHeight="1">
      <c r="A59" s="9">
        <v>45793.0</v>
      </c>
      <c r="B59" s="10">
        <v>2699.0</v>
      </c>
      <c r="C59" s="11" t="s">
        <v>147</v>
      </c>
      <c r="D59" s="11" t="s">
        <v>18</v>
      </c>
      <c r="E59" s="11" t="s">
        <v>32</v>
      </c>
      <c r="F59" s="11" t="s">
        <v>100</v>
      </c>
      <c r="G59" s="12">
        <v>4.0</v>
      </c>
      <c r="H59" s="13">
        <v>2082.79</v>
      </c>
      <c r="I59" s="14">
        <f t="shared" si="1"/>
        <v>8331.16</v>
      </c>
      <c r="J59" s="15">
        <f t="shared" si="2"/>
        <v>2025</v>
      </c>
      <c r="K59" s="15">
        <f t="shared" si="3"/>
        <v>5</v>
      </c>
      <c r="L59" s="15">
        <f t="shared" si="4"/>
        <v>16</v>
      </c>
      <c r="M59" s="15">
        <f t="shared" si="5"/>
        <v>6</v>
      </c>
      <c r="N59" s="16">
        <f t="shared" si="6"/>
        <v>3332.464</v>
      </c>
      <c r="O59" s="16">
        <f t="shared" si="7"/>
        <v>833.116</v>
      </c>
      <c r="P59" s="17" t="str">
        <f t="shared" si="8"/>
        <v>2025_5</v>
      </c>
      <c r="Q59" s="17" t="str">
        <f t="shared" si="9"/>
        <v>Não VIP</v>
      </c>
    </row>
    <row r="60" ht="22.5" customHeight="1">
      <c r="A60" s="9">
        <v>45642.0</v>
      </c>
      <c r="B60" s="10">
        <v>2931.0</v>
      </c>
      <c r="C60" s="11" t="s">
        <v>148</v>
      </c>
      <c r="D60" s="11" t="s">
        <v>22</v>
      </c>
      <c r="E60" s="11" t="s">
        <v>28</v>
      </c>
      <c r="F60" s="11" t="s">
        <v>98</v>
      </c>
      <c r="G60" s="12">
        <v>3.0</v>
      </c>
      <c r="H60" s="13">
        <v>398.59</v>
      </c>
      <c r="I60" s="14">
        <f t="shared" si="1"/>
        <v>1195.77</v>
      </c>
      <c r="J60" s="15">
        <f t="shared" si="2"/>
        <v>2024</v>
      </c>
      <c r="K60" s="15">
        <f t="shared" si="3"/>
        <v>12</v>
      </c>
      <c r="L60" s="15">
        <f t="shared" si="4"/>
        <v>16</v>
      </c>
      <c r="M60" s="15">
        <f t="shared" si="5"/>
        <v>2</v>
      </c>
      <c r="N60" s="16">
        <f t="shared" si="6"/>
        <v>478.308</v>
      </c>
      <c r="O60" s="16">
        <f t="shared" si="7"/>
        <v>119.577</v>
      </c>
      <c r="P60" s="17" t="str">
        <f t="shared" si="8"/>
        <v>2024_12</v>
      </c>
      <c r="Q60" s="17" t="str">
        <f t="shared" si="9"/>
        <v>Não VIP</v>
      </c>
    </row>
    <row r="61" ht="22.5" customHeight="1">
      <c r="A61" s="9">
        <v>45674.0</v>
      </c>
      <c r="B61" s="10">
        <v>7620.0</v>
      </c>
      <c r="C61" s="11" t="s">
        <v>149</v>
      </c>
      <c r="D61" s="11" t="s">
        <v>31</v>
      </c>
      <c r="E61" s="11" t="s">
        <v>19</v>
      </c>
      <c r="F61" s="11" t="s">
        <v>58</v>
      </c>
      <c r="G61" s="12">
        <v>1.0</v>
      </c>
      <c r="H61" s="13">
        <v>601.34</v>
      </c>
      <c r="I61" s="14">
        <f t="shared" si="1"/>
        <v>601.34</v>
      </c>
      <c r="J61" s="15">
        <f t="shared" si="2"/>
        <v>2025</v>
      </c>
      <c r="K61" s="15">
        <f t="shared" si="3"/>
        <v>1</v>
      </c>
      <c r="L61" s="15">
        <f t="shared" si="4"/>
        <v>17</v>
      </c>
      <c r="M61" s="15">
        <f t="shared" si="5"/>
        <v>6</v>
      </c>
      <c r="N61" s="16">
        <f t="shared" si="6"/>
        <v>240.536</v>
      </c>
      <c r="O61" s="16">
        <f t="shared" si="7"/>
        <v>60.134</v>
      </c>
      <c r="P61" s="17" t="str">
        <f t="shared" si="8"/>
        <v>2025_1</v>
      </c>
      <c r="Q61" s="17" t="str">
        <f t="shared" si="9"/>
        <v>Não VIP</v>
      </c>
    </row>
    <row r="62" ht="22.5" customHeight="1">
      <c r="A62" s="9">
        <v>45733.0</v>
      </c>
      <c r="B62" s="10">
        <v>3608.0</v>
      </c>
      <c r="C62" s="11" t="s">
        <v>151</v>
      </c>
      <c r="D62" s="11" t="s">
        <v>18</v>
      </c>
      <c r="E62" s="11" t="s">
        <v>32</v>
      </c>
      <c r="F62" s="11" t="s">
        <v>100</v>
      </c>
      <c r="G62" s="12">
        <v>2.0</v>
      </c>
      <c r="H62" s="13">
        <v>2607.24</v>
      </c>
      <c r="I62" s="14">
        <f t="shared" si="1"/>
        <v>5214.48</v>
      </c>
      <c r="J62" s="15">
        <f t="shared" si="2"/>
        <v>2025</v>
      </c>
      <c r="K62" s="15">
        <f t="shared" si="3"/>
        <v>3</v>
      </c>
      <c r="L62" s="15">
        <f t="shared" si="4"/>
        <v>17</v>
      </c>
      <c r="M62" s="15">
        <f t="shared" si="5"/>
        <v>2</v>
      </c>
      <c r="N62" s="16">
        <f t="shared" si="6"/>
        <v>2085.792</v>
      </c>
      <c r="O62" s="16">
        <f t="shared" si="7"/>
        <v>521.448</v>
      </c>
      <c r="P62" s="17" t="str">
        <f t="shared" si="8"/>
        <v>2025_3</v>
      </c>
      <c r="Q62" s="17" t="str">
        <f t="shared" si="9"/>
        <v>Não VIP</v>
      </c>
    </row>
    <row r="63" ht="22.5" customHeight="1">
      <c r="A63" s="9">
        <v>45764.0</v>
      </c>
      <c r="B63" s="10">
        <v>9631.0</v>
      </c>
      <c r="C63" s="11" t="s">
        <v>152</v>
      </c>
      <c r="D63" s="11" t="s">
        <v>31</v>
      </c>
      <c r="E63" s="11" t="s">
        <v>19</v>
      </c>
      <c r="F63" s="11" t="s">
        <v>20</v>
      </c>
      <c r="G63" s="12">
        <v>7.0</v>
      </c>
      <c r="H63" s="13">
        <v>593.3</v>
      </c>
      <c r="I63" s="14">
        <f t="shared" si="1"/>
        <v>4153.1</v>
      </c>
      <c r="J63" s="15">
        <f t="shared" si="2"/>
        <v>2025</v>
      </c>
      <c r="K63" s="15">
        <f t="shared" si="3"/>
        <v>4</v>
      </c>
      <c r="L63" s="15">
        <f t="shared" si="4"/>
        <v>17</v>
      </c>
      <c r="M63" s="15">
        <f t="shared" si="5"/>
        <v>5</v>
      </c>
      <c r="N63" s="16">
        <f t="shared" si="6"/>
        <v>1661.24</v>
      </c>
      <c r="O63" s="16">
        <f t="shared" si="7"/>
        <v>415.31</v>
      </c>
      <c r="P63" s="17" t="str">
        <f t="shared" si="8"/>
        <v>2025_4</v>
      </c>
      <c r="Q63" s="17" t="str">
        <f t="shared" si="9"/>
        <v>Não VIP</v>
      </c>
    </row>
    <row r="64" ht="22.5" customHeight="1">
      <c r="A64" s="9">
        <v>45643.0</v>
      </c>
      <c r="B64" s="10">
        <v>6284.0</v>
      </c>
      <c r="C64" s="11" t="s">
        <v>154</v>
      </c>
      <c r="D64" s="11" t="s">
        <v>22</v>
      </c>
      <c r="E64" s="11" t="s">
        <v>38</v>
      </c>
      <c r="F64" s="11" t="s">
        <v>54</v>
      </c>
      <c r="G64" s="12">
        <v>10.0</v>
      </c>
      <c r="H64" s="13">
        <v>34.15</v>
      </c>
      <c r="I64" s="14">
        <f t="shared" si="1"/>
        <v>341.5</v>
      </c>
      <c r="J64" s="15">
        <f t="shared" si="2"/>
        <v>2024</v>
      </c>
      <c r="K64" s="15">
        <f t="shared" si="3"/>
        <v>12</v>
      </c>
      <c r="L64" s="15">
        <f t="shared" si="4"/>
        <v>17</v>
      </c>
      <c r="M64" s="15">
        <f t="shared" si="5"/>
        <v>3</v>
      </c>
      <c r="N64" s="16">
        <f t="shared" si="6"/>
        <v>136.6</v>
      </c>
      <c r="O64" s="16">
        <f t="shared" si="7"/>
        <v>34.15</v>
      </c>
      <c r="P64" s="17" t="str">
        <f t="shared" si="8"/>
        <v>2024_12</v>
      </c>
      <c r="Q64" s="17" t="str">
        <f t="shared" si="9"/>
        <v>Não VIP</v>
      </c>
    </row>
    <row r="65" ht="22.5" customHeight="1">
      <c r="A65" s="9">
        <v>45643.0</v>
      </c>
      <c r="B65" s="10">
        <v>3543.0</v>
      </c>
      <c r="C65" s="11" t="s">
        <v>155</v>
      </c>
      <c r="D65" s="11" t="s">
        <v>31</v>
      </c>
      <c r="E65" s="11" t="s">
        <v>28</v>
      </c>
      <c r="F65" s="11" t="s">
        <v>98</v>
      </c>
      <c r="G65" s="12">
        <v>5.0</v>
      </c>
      <c r="H65" s="13">
        <v>158.02</v>
      </c>
      <c r="I65" s="14">
        <f t="shared" si="1"/>
        <v>790.1</v>
      </c>
      <c r="J65" s="15">
        <f t="shared" si="2"/>
        <v>2024</v>
      </c>
      <c r="K65" s="15">
        <f t="shared" si="3"/>
        <v>12</v>
      </c>
      <c r="L65" s="15">
        <f t="shared" si="4"/>
        <v>17</v>
      </c>
      <c r="M65" s="15">
        <f t="shared" si="5"/>
        <v>3</v>
      </c>
      <c r="N65" s="16">
        <f t="shared" si="6"/>
        <v>316.04</v>
      </c>
      <c r="O65" s="16">
        <f t="shared" si="7"/>
        <v>79.01</v>
      </c>
      <c r="P65" s="17" t="str">
        <f t="shared" si="8"/>
        <v>2024_12</v>
      </c>
      <c r="Q65" s="17" t="str">
        <f t="shared" si="9"/>
        <v>Não VIP</v>
      </c>
    </row>
    <row r="66" ht="22.5" customHeight="1">
      <c r="A66" s="9">
        <v>45675.0</v>
      </c>
      <c r="B66" s="10">
        <v>5156.0</v>
      </c>
      <c r="C66" s="11" t="s">
        <v>157</v>
      </c>
      <c r="D66" s="11" t="s">
        <v>43</v>
      </c>
      <c r="E66" s="11" t="s">
        <v>19</v>
      </c>
      <c r="F66" s="11" t="s">
        <v>46</v>
      </c>
      <c r="G66" s="12">
        <v>5.0</v>
      </c>
      <c r="H66" s="13">
        <v>457.74</v>
      </c>
      <c r="I66" s="14">
        <f t="shared" si="1"/>
        <v>2288.7</v>
      </c>
      <c r="J66" s="15">
        <f t="shared" si="2"/>
        <v>2025</v>
      </c>
      <c r="K66" s="15">
        <f t="shared" si="3"/>
        <v>1</v>
      </c>
      <c r="L66" s="15">
        <f t="shared" si="4"/>
        <v>18</v>
      </c>
      <c r="M66" s="15">
        <f t="shared" si="5"/>
        <v>7</v>
      </c>
      <c r="N66" s="16">
        <f t="shared" si="6"/>
        <v>915.48</v>
      </c>
      <c r="O66" s="16">
        <f t="shared" si="7"/>
        <v>228.87</v>
      </c>
      <c r="P66" s="17" t="str">
        <f t="shared" si="8"/>
        <v>2025_1</v>
      </c>
      <c r="Q66" s="17" t="str">
        <f t="shared" si="9"/>
        <v>Não VIP</v>
      </c>
    </row>
    <row r="67" ht="22.5" customHeight="1">
      <c r="A67" s="9">
        <v>45675.0</v>
      </c>
      <c r="B67" s="10">
        <v>8312.0</v>
      </c>
      <c r="C67" s="11" t="s">
        <v>158</v>
      </c>
      <c r="D67" s="11" t="s">
        <v>22</v>
      </c>
      <c r="E67" s="11" t="s">
        <v>19</v>
      </c>
      <c r="F67" s="11" t="s">
        <v>20</v>
      </c>
      <c r="G67" s="12">
        <v>1.0</v>
      </c>
      <c r="H67" s="13">
        <v>1574.61</v>
      </c>
      <c r="I67" s="14">
        <f t="shared" si="1"/>
        <v>1574.61</v>
      </c>
      <c r="J67" s="15">
        <f t="shared" si="2"/>
        <v>2025</v>
      </c>
      <c r="K67" s="15">
        <f t="shared" si="3"/>
        <v>1</v>
      </c>
      <c r="L67" s="15">
        <f t="shared" si="4"/>
        <v>18</v>
      </c>
      <c r="M67" s="15">
        <f t="shared" si="5"/>
        <v>7</v>
      </c>
      <c r="N67" s="16">
        <f t="shared" si="6"/>
        <v>629.844</v>
      </c>
      <c r="O67" s="16">
        <f t="shared" si="7"/>
        <v>157.461</v>
      </c>
      <c r="P67" s="17" t="str">
        <f t="shared" si="8"/>
        <v>2025_1</v>
      </c>
      <c r="Q67" s="17" t="str">
        <f t="shared" si="9"/>
        <v>Não VIP</v>
      </c>
    </row>
    <row r="68" ht="22.5" customHeight="1">
      <c r="A68" s="9">
        <v>45706.0</v>
      </c>
      <c r="B68" s="10">
        <v>2585.0</v>
      </c>
      <c r="C68" s="11" t="s">
        <v>159</v>
      </c>
      <c r="D68" s="11" t="s">
        <v>22</v>
      </c>
      <c r="E68" s="11" t="s">
        <v>28</v>
      </c>
      <c r="F68" s="11" t="s">
        <v>50</v>
      </c>
      <c r="G68" s="12">
        <v>2.0</v>
      </c>
      <c r="H68" s="13">
        <v>1189.63</v>
      </c>
      <c r="I68" s="14">
        <f t="shared" si="1"/>
        <v>2379.26</v>
      </c>
      <c r="J68" s="15">
        <f t="shared" si="2"/>
        <v>2025</v>
      </c>
      <c r="K68" s="15">
        <f t="shared" si="3"/>
        <v>2</v>
      </c>
      <c r="L68" s="15">
        <f t="shared" si="4"/>
        <v>18</v>
      </c>
      <c r="M68" s="15">
        <f t="shared" si="5"/>
        <v>3</v>
      </c>
      <c r="N68" s="16">
        <f t="shared" si="6"/>
        <v>951.704</v>
      </c>
      <c r="O68" s="16">
        <f t="shared" si="7"/>
        <v>237.926</v>
      </c>
      <c r="P68" s="17" t="str">
        <f t="shared" si="8"/>
        <v>2025_2</v>
      </c>
      <c r="Q68" s="17" t="str">
        <f t="shared" si="9"/>
        <v>Não VIP</v>
      </c>
    </row>
    <row r="69" ht="22.5" customHeight="1">
      <c r="A69" s="9">
        <v>45734.0</v>
      </c>
      <c r="B69" s="10">
        <v>7503.0</v>
      </c>
      <c r="C69" s="11" t="s">
        <v>160</v>
      </c>
      <c r="D69" s="11" t="s">
        <v>22</v>
      </c>
      <c r="E69" s="11" t="s">
        <v>32</v>
      </c>
      <c r="F69" s="11" t="s">
        <v>100</v>
      </c>
      <c r="G69" s="12">
        <v>5.0</v>
      </c>
      <c r="H69" s="13">
        <v>692.95</v>
      </c>
      <c r="I69" s="14">
        <f t="shared" si="1"/>
        <v>3464.75</v>
      </c>
      <c r="J69" s="15">
        <f t="shared" si="2"/>
        <v>2025</v>
      </c>
      <c r="K69" s="15">
        <f t="shared" si="3"/>
        <v>3</v>
      </c>
      <c r="L69" s="15">
        <f t="shared" si="4"/>
        <v>18</v>
      </c>
      <c r="M69" s="15">
        <f t="shared" si="5"/>
        <v>3</v>
      </c>
      <c r="N69" s="16">
        <f t="shared" si="6"/>
        <v>1385.9</v>
      </c>
      <c r="O69" s="16">
        <f t="shared" si="7"/>
        <v>346.475</v>
      </c>
      <c r="P69" s="17" t="str">
        <f t="shared" si="8"/>
        <v>2025_3</v>
      </c>
      <c r="Q69" s="17" t="str">
        <f t="shared" si="9"/>
        <v>Não VIP</v>
      </c>
    </row>
    <row r="70" ht="22.5" customHeight="1">
      <c r="A70" s="9">
        <v>45734.0</v>
      </c>
      <c r="B70" s="10">
        <v>3463.0</v>
      </c>
      <c r="C70" s="11" t="s">
        <v>161</v>
      </c>
      <c r="D70" s="11" t="s">
        <v>65</v>
      </c>
      <c r="E70" s="11" t="s">
        <v>32</v>
      </c>
      <c r="F70" s="11" t="s">
        <v>85</v>
      </c>
      <c r="G70" s="12">
        <v>4.0</v>
      </c>
      <c r="H70" s="13">
        <v>22.36</v>
      </c>
      <c r="I70" s="14">
        <f t="shared" si="1"/>
        <v>89.44</v>
      </c>
      <c r="J70" s="15">
        <f t="shared" si="2"/>
        <v>2025</v>
      </c>
      <c r="K70" s="15">
        <f t="shared" si="3"/>
        <v>3</v>
      </c>
      <c r="L70" s="15">
        <f t="shared" si="4"/>
        <v>18</v>
      </c>
      <c r="M70" s="15">
        <f t="shared" si="5"/>
        <v>3</v>
      </c>
      <c r="N70" s="16">
        <f t="shared" si="6"/>
        <v>35.776</v>
      </c>
      <c r="O70" s="16">
        <f t="shared" si="7"/>
        <v>8.944</v>
      </c>
      <c r="P70" s="17" t="str">
        <f t="shared" si="8"/>
        <v>2025_3</v>
      </c>
      <c r="Q70" s="17" t="str">
        <f t="shared" si="9"/>
        <v>Não VIP</v>
      </c>
    </row>
    <row r="71" ht="22.5" customHeight="1">
      <c r="A71" s="9">
        <v>45765.0</v>
      </c>
      <c r="B71" s="10">
        <v>3027.0</v>
      </c>
      <c r="C71" s="11" t="s">
        <v>162</v>
      </c>
      <c r="D71" s="11" t="s">
        <v>43</v>
      </c>
      <c r="E71" s="11" t="s">
        <v>19</v>
      </c>
      <c r="F71" s="11" t="s">
        <v>44</v>
      </c>
      <c r="G71" s="12">
        <v>1.0</v>
      </c>
      <c r="H71" s="13">
        <v>2192.52</v>
      </c>
      <c r="I71" s="14">
        <f t="shared" si="1"/>
        <v>2192.52</v>
      </c>
      <c r="J71" s="15">
        <f t="shared" si="2"/>
        <v>2025</v>
      </c>
      <c r="K71" s="15">
        <f t="shared" si="3"/>
        <v>4</v>
      </c>
      <c r="L71" s="15">
        <f t="shared" si="4"/>
        <v>18</v>
      </c>
      <c r="M71" s="15">
        <f t="shared" si="5"/>
        <v>6</v>
      </c>
      <c r="N71" s="16">
        <f t="shared" si="6"/>
        <v>877.008</v>
      </c>
      <c r="O71" s="16">
        <f t="shared" si="7"/>
        <v>219.252</v>
      </c>
      <c r="P71" s="17" t="str">
        <f t="shared" si="8"/>
        <v>2025_4</v>
      </c>
      <c r="Q71" s="17" t="str">
        <f t="shared" si="9"/>
        <v>Não VIP</v>
      </c>
    </row>
    <row r="72" ht="22.5" customHeight="1">
      <c r="A72" s="9">
        <v>45765.0</v>
      </c>
      <c r="B72" s="10">
        <v>9002.0</v>
      </c>
      <c r="C72" s="11" t="s">
        <v>163</v>
      </c>
      <c r="D72" s="11" t="s">
        <v>37</v>
      </c>
      <c r="E72" s="11" t="s">
        <v>38</v>
      </c>
      <c r="F72" s="11" t="s">
        <v>60</v>
      </c>
      <c r="G72" s="12">
        <v>8.0</v>
      </c>
      <c r="H72" s="13">
        <v>781.16</v>
      </c>
      <c r="I72" s="14">
        <f t="shared" si="1"/>
        <v>6249.28</v>
      </c>
      <c r="J72" s="15">
        <f t="shared" si="2"/>
        <v>2025</v>
      </c>
      <c r="K72" s="15">
        <f t="shared" si="3"/>
        <v>4</v>
      </c>
      <c r="L72" s="15">
        <f t="shared" si="4"/>
        <v>18</v>
      </c>
      <c r="M72" s="15">
        <f t="shared" si="5"/>
        <v>6</v>
      </c>
      <c r="N72" s="16">
        <f t="shared" si="6"/>
        <v>2499.712</v>
      </c>
      <c r="O72" s="16">
        <f t="shared" si="7"/>
        <v>624.928</v>
      </c>
      <c r="P72" s="17" t="str">
        <f t="shared" si="8"/>
        <v>2025_4</v>
      </c>
      <c r="Q72" s="17" t="str">
        <f t="shared" si="9"/>
        <v>Não VIP</v>
      </c>
    </row>
    <row r="73" ht="22.5" customHeight="1">
      <c r="A73" s="9">
        <v>45795.0</v>
      </c>
      <c r="B73" s="10">
        <v>6139.0</v>
      </c>
      <c r="C73" s="11" t="s">
        <v>164</v>
      </c>
      <c r="D73" s="11" t="s">
        <v>18</v>
      </c>
      <c r="E73" s="11" t="s">
        <v>19</v>
      </c>
      <c r="F73" s="11" t="s">
        <v>41</v>
      </c>
      <c r="G73" s="12">
        <v>8.0</v>
      </c>
      <c r="H73" s="13">
        <v>363.87</v>
      </c>
      <c r="I73" s="14">
        <f t="shared" si="1"/>
        <v>2910.96</v>
      </c>
      <c r="J73" s="15">
        <f t="shared" si="2"/>
        <v>2025</v>
      </c>
      <c r="K73" s="15">
        <f t="shared" si="3"/>
        <v>5</v>
      </c>
      <c r="L73" s="15">
        <f t="shared" si="4"/>
        <v>18</v>
      </c>
      <c r="M73" s="15">
        <f t="shared" si="5"/>
        <v>1</v>
      </c>
      <c r="N73" s="16">
        <f t="shared" si="6"/>
        <v>1164.384</v>
      </c>
      <c r="O73" s="16">
        <f t="shared" si="7"/>
        <v>291.096</v>
      </c>
      <c r="P73" s="17" t="str">
        <f t="shared" si="8"/>
        <v>2025_5</v>
      </c>
      <c r="Q73" s="17" t="str">
        <f t="shared" si="9"/>
        <v>Não VIP</v>
      </c>
    </row>
    <row r="74" ht="22.5" customHeight="1">
      <c r="A74" s="9">
        <v>45676.0</v>
      </c>
      <c r="B74" s="10">
        <v>8716.0</v>
      </c>
      <c r="C74" s="11" t="s">
        <v>165</v>
      </c>
      <c r="D74" s="11" t="s">
        <v>31</v>
      </c>
      <c r="E74" s="11" t="s">
        <v>23</v>
      </c>
      <c r="F74" s="11" t="s">
        <v>24</v>
      </c>
      <c r="G74" s="12">
        <v>7.0</v>
      </c>
      <c r="H74" s="13">
        <v>588.56</v>
      </c>
      <c r="I74" s="14">
        <f t="shared" si="1"/>
        <v>4119.92</v>
      </c>
      <c r="J74" s="15">
        <f t="shared" si="2"/>
        <v>2025</v>
      </c>
      <c r="K74" s="15">
        <f t="shared" si="3"/>
        <v>1</v>
      </c>
      <c r="L74" s="15">
        <f t="shared" si="4"/>
        <v>19</v>
      </c>
      <c r="M74" s="15">
        <f t="shared" si="5"/>
        <v>1</v>
      </c>
      <c r="N74" s="16">
        <f t="shared" si="6"/>
        <v>1647.968</v>
      </c>
      <c r="O74" s="16">
        <f t="shared" si="7"/>
        <v>411.992</v>
      </c>
      <c r="P74" s="17" t="str">
        <f t="shared" si="8"/>
        <v>2025_1</v>
      </c>
      <c r="Q74" s="17" t="str">
        <f t="shared" si="9"/>
        <v>Não VIP</v>
      </c>
    </row>
    <row r="75" ht="22.5" customHeight="1">
      <c r="A75" s="9">
        <v>45676.0</v>
      </c>
      <c r="B75" s="10">
        <v>5178.0</v>
      </c>
      <c r="C75" s="11" t="s">
        <v>167</v>
      </c>
      <c r="D75" s="11" t="s">
        <v>22</v>
      </c>
      <c r="E75" s="11" t="s">
        <v>23</v>
      </c>
      <c r="F75" s="11" t="s">
        <v>52</v>
      </c>
      <c r="G75" s="12">
        <v>6.0</v>
      </c>
      <c r="H75" s="13">
        <v>753.5</v>
      </c>
      <c r="I75" s="14">
        <f t="shared" si="1"/>
        <v>4521</v>
      </c>
      <c r="J75" s="15">
        <f t="shared" si="2"/>
        <v>2025</v>
      </c>
      <c r="K75" s="15">
        <f t="shared" si="3"/>
        <v>1</v>
      </c>
      <c r="L75" s="15">
        <f t="shared" si="4"/>
        <v>19</v>
      </c>
      <c r="M75" s="15">
        <f t="shared" si="5"/>
        <v>1</v>
      </c>
      <c r="N75" s="16">
        <f t="shared" si="6"/>
        <v>1808.4</v>
      </c>
      <c r="O75" s="16">
        <f t="shared" si="7"/>
        <v>452.1</v>
      </c>
      <c r="P75" s="17" t="str">
        <f t="shared" si="8"/>
        <v>2025_1</v>
      </c>
      <c r="Q75" s="17" t="str">
        <f t="shared" si="9"/>
        <v>Não VIP</v>
      </c>
    </row>
    <row r="76" ht="22.5" customHeight="1">
      <c r="A76" s="9">
        <v>45707.0</v>
      </c>
      <c r="B76" s="10">
        <v>9988.0</v>
      </c>
      <c r="C76" s="11" t="s">
        <v>168</v>
      </c>
      <c r="D76" s="11" t="s">
        <v>22</v>
      </c>
      <c r="E76" s="11" t="s">
        <v>19</v>
      </c>
      <c r="F76" s="11" t="s">
        <v>46</v>
      </c>
      <c r="G76" s="12">
        <v>1.0</v>
      </c>
      <c r="H76" s="13">
        <v>505.04</v>
      </c>
      <c r="I76" s="14">
        <f t="shared" si="1"/>
        <v>505.04</v>
      </c>
      <c r="J76" s="15">
        <f t="shared" si="2"/>
        <v>2025</v>
      </c>
      <c r="K76" s="15">
        <f t="shared" si="3"/>
        <v>2</v>
      </c>
      <c r="L76" s="15">
        <f t="shared" si="4"/>
        <v>19</v>
      </c>
      <c r="M76" s="15">
        <f t="shared" si="5"/>
        <v>4</v>
      </c>
      <c r="N76" s="16">
        <f t="shared" si="6"/>
        <v>202.016</v>
      </c>
      <c r="O76" s="16">
        <f t="shared" si="7"/>
        <v>50.504</v>
      </c>
      <c r="P76" s="17" t="str">
        <f t="shared" si="8"/>
        <v>2025_2</v>
      </c>
      <c r="Q76" s="17" t="str">
        <f t="shared" si="9"/>
        <v>Não VIP</v>
      </c>
    </row>
    <row r="77" ht="22.5" customHeight="1">
      <c r="A77" s="9">
        <v>45766.0</v>
      </c>
      <c r="B77" s="10">
        <v>1368.0</v>
      </c>
      <c r="C77" s="11" t="s">
        <v>169</v>
      </c>
      <c r="D77" s="11" t="s">
        <v>65</v>
      </c>
      <c r="E77" s="11" t="s">
        <v>28</v>
      </c>
      <c r="F77" s="11" t="s">
        <v>50</v>
      </c>
      <c r="G77" s="12">
        <v>2.0</v>
      </c>
      <c r="H77" s="13">
        <v>1793.52</v>
      </c>
      <c r="I77" s="14">
        <f t="shared" si="1"/>
        <v>3587.04</v>
      </c>
      <c r="J77" s="15">
        <f t="shared" si="2"/>
        <v>2025</v>
      </c>
      <c r="K77" s="15">
        <f t="shared" si="3"/>
        <v>4</v>
      </c>
      <c r="L77" s="15">
        <f t="shared" si="4"/>
        <v>19</v>
      </c>
      <c r="M77" s="15">
        <f t="shared" si="5"/>
        <v>7</v>
      </c>
      <c r="N77" s="16">
        <f t="shared" si="6"/>
        <v>1434.816</v>
      </c>
      <c r="O77" s="16">
        <f t="shared" si="7"/>
        <v>358.704</v>
      </c>
      <c r="P77" s="17" t="str">
        <f t="shared" si="8"/>
        <v>2025_4</v>
      </c>
      <c r="Q77" s="17" t="str">
        <f t="shared" si="9"/>
        <v>Não VIP</v>
      </c>
    </row>
    <row r="78" ht="22.5" customHeight="1">
      <c r="A78" s="9">
        <v>45796.0</v>
      </c>
      <c r="B78" s="10">
        <v>5556.0</v>
      </c>
      <c r="C78" s="11" t="s">
        <v>170</v>
      </c>
      <c r="D78" s="11" t="s">
        <v>27</v>
      </c>
      <c r="E78" s="11" t="s">
        <v>23</v>
      </c>
      <c r="F78" s="11" t="s">
        <v>125</v>
      </c>
      <c r="G78" s="12">
        <v>9.0</v>
      </c>
      <c r="H78" s="13">
        <v>589.42</v>
      </c>
      <c r="I78" s="14">
        <f t="shared" si="1"/>
        <v>5304.78</v>
      </c>
      <c r="J78" s="15">
        <f t="shared" si="2"/>
        <v>2025</v>
      </c>
      <c r="K78" s="15">
        <f t="shared" si="3"/>
        <v>5</v>
      </c>
      <c r="L78" s="15">
        <f t="shared" si="4"/>
        <v>19</v>
      </c>
      <c r="M78" s="15">
        <f t="shared" si="5"/>
        <v>2</v>
      </c>
      <c r="N78" s="16">
        <f t="shared" si="6"/>
        <v>2121.912</v>
      </c>
      <c r="O78" s="16">
        <f t="shared" si="7"/>
        <v>530.478</v>
      </c>
      <c r="P78" s="17" t="str">
        <f t="shared" si="8"/>
        <v>2025_5</v>
      </c>
      <c r="Q78" s="17" t="str">
        <f t="shared" si="9"/>
        <v>Não VIP</v>
      </c>
    </row>
    <row r="79" ht="22.5" customHeight="1">
      <c r="A79" s="9">
        <v>45645.0</v>
      </c>
      <c r="B79" s="10">
        <v>5327.0</v>
      </c>
      <c r="C79" s="11" t="s">
        <v>172</v>
      </c>
      <c r="D79" s="11" t="s">
        <v>37</v>
      </c>
      <c r="E79" s="11" t="s">
        <v>32</v>
      </c>
      <c r="F79" s="11" t="s">
        <v>100</v>
      </c>
      <c r="G79" s="12">
        <v>3.0</v>
      </c>
      <c r="H79" s="13">
        <v>697.56</v>
      </c>
      <c r="I79" s="14">
        <f t="shared" si="1"/>
        <v>2092.68</v>
      </c>
      <c r="J79" s="15">
        <f t="shared" si="2"/>
        <v>2024</v>
      </c>
      <c r="K79" s="15">
        <f t="shared" si="3"/>
        <v>12</v>
      </c>
      <c r="L79" s="15">
        <f t="shared" si="4"/>
        <v>19</v>
      </c>
      <c r="M79" s="15">
        <f t="shared" si="5"/>
        <v>5</v>
      </c>
      <c r="N79" s="16">
        <f t="shared" si="6"/>
        <v>837.072</v>
      </c>
      <c r="O79" s="16">
        <f t="shared" si="7"/>
        <v>209.268</v>
      </c>
      <c r="P79" s="17" t="str">
        <f t="shared" si="8"/>
        <v>2024_12</v>
      </c>
      <c r="Q79" s="17" t="str">
        <f t="shared" si="9"/>
        <v>Não VIP</v>
      </c>
    </row>
    <row r="80" ht="22.5" customHeight="1">
      <c r="A80" s="9">
        <v>45708.0</v>
      </c>
      <c r="B80" s="10">
        <v>3774.0</v>
      </c>
      <c r="C80" s="11" t="s">
        <v>175</v>
      </c>
      <c r="D80" s="11" t="s">
        <v>18</v>
      </c>
      <c r="E80" s="11" t="s">
        <v>23</v>
      </c>
      <c r="F80" s="11" t="s">
        <v>80</v>
      </c>
      <c r="G80" s="12">
        <v>1.0</v>
      </c>
      <c r="H80" s="13">
        <v>791.68</v>
      </c>
      <c r="I80" s="14">
        <f t="shared" si="1"/>
        <v>791.68</v>
      </c>
      <c r="J80" s="15">
        <f t="shared" si="2"/>
        <v>2025</v>
      </c>
      <c r="K80" s="15">
        <f t="shared" si="3"/>
        <v>2</v>
      </c>
      <c r="L80" s="15">
        <f t="shared" si="4"/>
        <v>20</v>
      </c>
      <c r="M80" s="15">
        <f t="shared" si="5"/>
        <v>5</v>
      </c>
      <c r="N80" s="16">
        <f t="shared" si="6"/>
        <v>316.672</v>
      </c>
      <c r="O80" s="16">
        <f t="shared" si="7"/>
        <v>79.168</v>
      </c>
      <c r="P80" s="17" t="str">
        <f t="shared" si="8"/>
        <v>2025_2</v>
      </c>
      <c r="Q80" s="17" t="str">
        <f t="shared" si="9"/>
        <v>Não VIP</v>
      </c>
    </row>
    <row r="81" ht="22.5" customHeight="1">
      <c r="A81" s="9">
        <v>45708.0</v>
      </c>
      <c r="B81" s="10">
        <v>5607.0</v>
      </c>
      <c r="C81" s="11" t="s">
        <v>176</v>
      </c>
      <c r="D81" s="11" t="s">
        <v>43</v>
      </c>
      <c r="E81" s="11" t="s">
        <v>23</v>
      </c>
      <c r="F81" s="11" t="s">
        <v>80</v>
      </c>
      <c r="G81" s="12">
        <v>1.0</v>
      </c>
      <c r="H81" s="13">
        <v>1157.85</v>
      </c>
      <c r="I81" s="14">
        <f t="shared" si="1"/>
        <v>1157.85</v>
      </c>
      <c r="J81" s="15">
        <f t="shared" si="2"/>
        <v>2025</v>
      </c>
      <c r="K81" s="15">
        <f t="shared" si="3"/>
        <v>2</v>
      </c>
      <c r="L81" s="15">
        <f t="shared" si="4"/>
        <v>20</v>
      </c>
      <c r="M81" s="15">
        <f t="shared" si="5"/>
        <v>5</v>
      </c>
      <c r="N81" s="16">
        <f t="shared" si="6"/>
        <v>463.14</v>
      </c>
      <c r="O81" s="16">
        <f t="shared" si="7"/>
        <v>115.785</v>
      </c>
      <c r="P81" s="17" t="str">
        <f t="shared" si="8"/>
        <v>2025_2</v>
      </c>
      <c r="Q81" s="17" t="str">
        <f t="shared" si="9"/>
        <v>Não VIP</v>
      </c>
    </row>
    <row r="82" ht="22.5" customHeight="1">
      <c r="A82" s="9">
        <v>45797.0</v>
      </c>
      <c r="B82" s="10">
        <v>3537.0</v>
      </c>
      <c r="C82" s="11" t="s">
        <v>177</v>
      </c>
      <c r="D82" s="11" t="s">
        <v>31</v>
      </c>
      <c r="E82" s="11" t="s">
        <v>32</v>
      </c>
      <c r="F82" s="11" t="s">
        <v>33</v>
      </c>
      <c r="G82" s="12">
        <v>1.0</v>
      </c>
      <c r="H82" s="13">
        <v>1263.0</v>
      </c>
      <c r="I82" s="14">
        <f t="shared" si="1"/>
        <v>1263</v>
      </c>
      <c r="J82" s="15">
        <f t="shared" si="2"/>
        <v>2025</v>
      </c>
      <c r="K82" s="15">
        <f t="shared" si="3"/>
        <v>5</v>
      </c>
      <c r="L82" s="15">
        <f t="shared" si="4"/>
        <v>20</v>
      </c>
      <c r="M82" s="15">
        <f t="shared" si="5"/>
        <v>3</v>
      </c>
      <c r="N82" s="16">
        <f t="shared" si="6"/>
        <v>505.2</v>
      </c>
      <c r="O82" s="16">
        <f t="shared" si="7"/>
        <v>126.3</v>
      </c>
      <c r="P82" s="17" t="str">
        <f t="shared" si="8"/>
        <v>2025_5</v>
      </c>
      <c r="Q82" s="17" t="str">
        <f t="shared" si="9"/>
        <v>Não VIP</v>
      </c>
    </row>
    <row r="83" ht="22.5" customHeight="1">
      <c r="A83" s="9">
        <v>45797.0</v>
      </c>
      <c r="B83" s="10">
        <v>2587.0</v>
      </c>
      <c r="C83" s="11" t="s">
        <v>178</v>
      </c>
      <c r="D83" s="11" t="s">
        <v>65</v>
      </c>
      <c r="E83" s="11" t="s">
        <v>28</v>
      </c>
      <c r="F83" s="11" t="s">
        <v>76</v>
      </c>
      <c r="G83" s="12">
        <v>2.0</v>
      </c>
      <c r="H83" s="13">
        <v>2985.62</v>
      </c>
      <c r="I83" s="14">
        <f t="shared" si="1"/>
        <v>5971.24</v>
      </c>
      <c r="J83" s="15">
        <f t="shared" si="2"/>
        <v>2025</v>
      </c>
      <c r="K83" s="15">
        <f t="shared" si="3"/>
        <v>5</v>
      </c>
      <c r="L83" s="15">
        <f t="shared" si="4"/>
        <v>20</v>
      </c>
      <c r="M83" s="15">
        <f t="shared" si="5"/>
        <v>3</v>
      </c>
      <c r="N83" s="16">
        <f t="shared" si="6"/>
        <v>2388.496</v>
      </c>
      <c r="O83" s="16">
        <f t="shared" si="7"/>
        <v>597.124</v>
      </c>
      <c r="P83" s="17" t="str">
        <f t="shared" si="8"/>
        <v>2025_5</v>
      </c>
      <c r="Q83" s="17" t="str">
        <f t="shared" si="9"/>
        <v>Não VIP</v>
      </c>
    </row>
    <row r="84" ht="22.5" customHeight="1">
      <c r="A84" s="9">
        <v>45646.0</v>
      </c>
      <c r="B84" s="10">
        <v>5124.0</v>
      </c>
      <c r="C84" s="11" t="s">
        <v>179</v>
      </c>
      <c r="D84" s="11" t="s">
        <v>22</v>
      </c>
      <c r="E84" s="11" t="s">
        <v>38</v>
      </c>
      <c r="F84" s="11" t="s">
        <v>68</v>
      </c>
      <c r="G84" s="12">
        <v>10.0</v>
      </c>
      <c r="H84" s="13">
        <v>162.51</v>
      </c>
      <c r="I84" s="14">
        <f t="shared" si="1"/>
        <v>1625.1</v>
      </c>
      <c r="J84" s="15">
        <f t="shared" si="2"/>
        <v>2024</v>
      </c>
      <c r="K84" s="15">
        <f t="shared" si="3"/>
        <v>12</v>
      </c>
      <c r="L84" s="15">
        <f t="shared" si="4"/>
        <v>20</v>
      </c>
      <c r="M84" s="15">
        <f t="shared" si="5"/>
        <v>6</v>
      </c>
      <c r="N84" s="16">
        <f t="shared" si="6"/>
        <v>650.04</v>
      </c>
      <c r="O84" s="16">
        <f t="shared" si="7"/>
        <v>162.51</v>
      </c>
      <c r="P84" s="17" t="str">
        <f t="shared" si="8"/>
        <v>2024_12</v>
      </c>
      <c r="Q84" s="17" t="str">
        <f t="shared" si="9"/>
        <v>Não VIP</v>
      </c>
    </row>
    <row r="85" ht="22.5" customHeight="1">
      <c r="A85" s="9">
        <v>45709.0</v>
      </c>
      <c r="B85" s="10">
        <v>8128.0</v>
      </c>
      <c r="C85" s="11" t="s">
        <v>180</v>
      </c>
      <c r="D85" s="11" t="s">
        <v>65</v>
      </c>
      <c r="E85" s="11" t="s">
        <v>32</v>
      </c>
      <c r="F85" s="11" t="s">
        <v>100</v>
      </c>
      <c r="G85" s="12">
        <v>3.0</v>
      </c>
      <c r="H85" s="13">
        <v>51.35</v>
      </c>
      <c r="I85" s="14">
        <f t="shared" si="1"/>
        <v>154.05</v>
      </c>
      <c r="J85" s="15">
        <f t="shared" si="2"/>
        <v>2025</v>
      </c>
      <c r="K85" s="15">
        <f t="shared" si="3"/>
        <v>2</v>
      </c>
      <c r="L85" s="15">
        <f t="shared" si="4"/>
        <v>21</v>
      </c>
      <c r="M85" s="15">
        <f t="shared" si="5"/>
        <v>6</v>
      </c>
      <c r="N85" s="16">
        <f t="shared" si="6"/>
        <v>61.62</v>
      </c>
      <c r="O85" s="16">
        <f t="shared" si="7"/>
        <v>15.405</v>
      </c>
      <c r="P85" s="17" t="str">
        <f t="shared" si="8"/>
        <v>2025_2</v>
      </c>
      <c r="Q85" s="17" t="str">
        <f t="shared" si="9"/>
        <v>Não VIP</v>
      </c>
    </row>
    <row r="86" ht="22.5" customHeight="1">
      <c r="A86" s="9">
        <v>45709.0</v>
      </c>
      <c r="B86" s="10">
        <v>5293.0</v>
      </c>
      <c r="C86" s="11" t="s">
        <v>182</v>
      </c>
      <c r="D86" s="11" t="s">
        <v>65</v>
      </c>
      <c r="E86" s="11" t="s">
        <v>32</v>
      </c>
      <c r="F86" s="11" t="s">
        <v>56</v>
      </c>
      <c r="G86" s="12">
        <v>5.0</v>
      </c>
      <c r="H86" s="13">
        <v>182.58</v>
      </c>
      <c r="I86" s="14">
        <f t="shared" si="1"/>
        <v>912.9</v>
      </c>
      <c r="J86" s="15">
        <f t="shared" si="2"/>
        <v>2025</v>
      </c>
      <c r="K86" s="15">
        <f t="shared" si="3"/>
        <v>2</v>
      </c>
      <c r="L86" s="15">
        <f t="shared" si="4"/>
        <v>21</v>
      </c>
      <c r="M86" s="15">
        <f t="shared" si="5"/>
        <v>6</v>
      </c>
      <c r="N86" s="16">
        <f t="shared" si="6"/>
        <v>365.16</v>
      </c>
      <c r="O86" s="16">
        <f t="shared" si="7"/>
        <v>91.29</v>
      </c>
      <c r="P86" s="17" t="str">
        <f t="shared" si="8"/>
        <v>2025_2</v>
      </c>
      <c r="Q86" s="17" t="str">
        <f t="shared" si="9"/>
        <v>Não VIP</v>
      </c>
    </row>
    <row r="87" ht="22.5" customHeight="1">
      <c r="A87" s="9">
        <v>45709.0</v>
      </c>
      <c r="B87" s="10">
        <v>9562.0</v>
      </c>
      <c r="C87" s="11" t="s">
        <v>183</v>
      </c>
      <c r="D87" s="11" t="s">
        <v>37</v>
      </c>
      <c r="E87" s="11" t="s">
        <v>19</v>
      </c>
      <c r="F87" s="11" t="s">
        <v>44</v>
      </c>
      <c r="G87" s="12">
        <v>4.0</v>
      </c>
      <c r="H87" s="13">
        <v>981.58</v>
      </c>
      <c r="I87" s="14">
        <f t="shared" si="1"/>
        <v>3926.32</v>
      </c>
      <c r="J87" s="15">
        <f t="shared" si="2"/>
        <v>2025</v>
      </c>
      <c r="K87" s="15">
        <f t="shared" si="3"/>
        <v>2</v>
      </c>
      <c r="L87" s="15">
        <f t="shared" si="4"/>
        <v>21</v>
      </c>
      <c r="M87" s="15">
        <f t="shared" si="5"/>
        <v>6</v>
      </c>
      <c r="N87" s="16">
        <f t="shared" si="6"/>
        <v>1570.528</v>
      </c>
      <c r="O87" s="16">
        <f t="shared" si="7"/>
        <v>392.632</v>
      </c>
      <c r="P87" s="17" t="str">
        <f t="shared" si="8"/>
        <v>2025_2</v>
      </c>
      <c r="Q87" s="17" t="str">
        <f t="shared" si="9"/>
        <v>Não VIP</v>
      </c>
    </row>
    <row r="88" ht="22.5" customHeight="1">
      <c r="A88" s="9">
        <v>45647.0</v>
      </c>
      <c r="B88" s="10">
        <v>9585.0</v>
      </c>
      <c r="C88" s="11" t="s">
        <v>185</v>
      </c>
      <c r="D88" s="11" t="s">
        <v>43</v>
      </c>
      <c r="E88" s="11" t="s">
        <v>38</v>
      </c>
      <c r="F88" s="11" t="s">
        <v>66</v>
      </c>
      <c r="G88" s="12">
        <v>7.0</v>
      </c>
      <c r="H88" s="13">
        <v>923.47</v>
      </c>
      <c r="I88" s="14">
        <f t="shared" si="1"/>
        <v>6464.29</v>
      </c>
      <c r="J88" s="15">
        <f t="shared" si="2"/>
        <v>2024</v>
      </c>
      <c r="K88" s="15">
        <f t="shared" si="3"/>
        <v>12</v>
      </c>
      <c r="L88" s="15">
        <f t="shared" si="4"/>
        <v>21</v>
      </c>
      <c r="M88" s="15">
        <f t="shared" si="5"/>
        <v>7</v>
      </c>
      <c r="N88" s="16">
        <f t="shared" si="6"/>
        <v>2585.716</v>
      </c>
      <c r="O88" s="16">
        <f t="shared" si="7"/>
        <v>646.429</v>
      </c>
      <c r="P88" s="17" t="str">
        <f t="shared" si="8"/>
        <v>2024_12</v>
      </c>
      <c r="Q88" s="17" t="str">
        <f t="shared" si="9"/>
        <v>Não VIP</v>
      </c>
    </row>
    <row r="89" ht="22.5" customHeight="1">
      <c r="A89" s="9">
        <v>45647.0</v>
      </c>
      <c r="B89" s="10">
        <v>7030.0</v>
      </c>
      <c r="C89" s="11" t="s">
        <v>186</v>
      </c>
      <c r="D89" s="11" t="s">
        <v>22</v>
      </c>
      <c r="E89" s="11" t="s">
        <v>19</v>
      </c>
      <c r="F89" s="11" t="s">
        <v>58</v>
      </c>
      <c r="G89" s="12">
        <v>8.0</v>
      </c>
      <c r="H89" s="13">
        <v>1022.96</v>
      </c>
      <c r="I89" s="14">
        <f t="shared" si="1"/>
        <v>8183.68</v>
      </c>
      <c r="J89" s="15">
        <f t="shared" si="2"/>
        <v>2024</v>
      </c>
      <c r="K89" s="15">
        <f t="shared" si="3"/>
        <v>12</v>
      </c>
      <c r="L89" s="15">
        <f t="shared" si="4"/>
        <v>21</v>
      </c>
      <c r="M89" s="15">
        <f t="shared" si="5"/>
        <v>7</v>
      </c>
      <c r="N89" s="16">
        <f t="shared" si="6"/>
        <v>3273.472</v>
      </c>
      <c r="O89" s="16">
        <f t="shared" si="7"/>
        <v>818.368</v>
      </c>
      <c r="P89" s="17" t="str">
        <f t="shared" si="8"/>
        <v>2024_12</v>
      </c>
      <c r="Q89" s="17" t="str">
        <f t="shared" si="9"/>
        <v>Não VIP</v>
      </c>
    </row>
    <row r="90" ht="22.5" customHeight="1">
      <c r="A90" s="9">
        <v>45679.0</v>
      </c>
      <c r="B90" s="10">
        <v>1712.0</v>
      </c>
      <c r="C90" s="11" t="s">
        <v>187</v>
      </c>
      <c r="D90" s="11" t="s">
        <v>43</v>
      </c>
      <c r="E90" s="11" t="s">
        <v>38</v>
      </c>
      <c r="F90" s="11" t="s">
        <v>68</v>
      </c>
      <c r="G90" s="12">
        <v>7.0</v>
      </c>
      <c r="H90" s="13">
        <v>464.28</v>
      </c>
      <c r="I90" s="14">
        <f t="shared" si="1"/>
        <v>3249.96</v>
      </c>
      <c r="J90" s="15">
        <f t="shared" si="2"/>
        <v>2025</v>
      </c>
      <c r="K90" s="15">
        <f t="shared" si="3"/>
        <v>1</v>
      </c>
      <c r="L90" s="15">
        <f t="shared" si="4"/>
        <v>22</v>
      </c>
      <c r="M90" s="15">
        <f t="shared" si="5"/>
        <v>4</v>
      </c>
      <c r="N90" s="16">
        <f t="shared" si="6"/>
        <v>1299.984</v>
      </c>
      <c r="O90" s="16">
        <f t="shared" si="7"/>
        <v>324.996</v>
      </c>
      <c r="P90" s="17" t="str">
        <f t="shared" si="8"/>
        <v>2025_1</v>
      </c>
      <c r="Q90" s="17" t="str">
        <f t="shared" si="9"/>
        <v>Não VIP</v>
      </c>
    </row>
    <row r="91" ht="22.5" customHeight="1">
      <c r="A91" s="9">
        <v>45710.0</v>
      </c>
      <c r="B91" s="10">
        <v>6303.0</v>
      </c>
      <c r="C91" s="11" t="s">
        <v>188</v>
      </c>
      <c r="D91" s="11" t="s">
        <v>37</v>
      </c>
      <c r="E91" s="11" t="s">
        <v>38</v>
      </c>
      <c r="F91" s="11" t="s">
        <v>68</v>
      </c>
      <c r="G91" s="12">
        <v>4.0</v>
      </c>
      <c r="H91" s="13">
        <v>2422.84</v>
      </c>
      <c r="I91" s="14">
        <f t="shared" si="1"/>
        <v>9691.36</v>
      </c>
      <c r="J91" s="15">
        <f t="shared" si="2"/>
        <v>2025</v>
      </c>
      <c r="K91" s="15">
        <f t="shared" si="3"/>
        <v>2</v>
      </c>
      <c r="L91" s="15">
        <f t="shared" si="4"/>
        <v>22</v>
      </c>
      <c r="M91" s="15">
        <f t="shared" si="5"/>
        <v>7</v>
      </c>
      <c r="N91" s="16">
        <f t="shared" si="6"/>
        <v>3876.544</v>
      </c>
      <c r="O91" s="16">
        <f t="shared" si="7"/>
        <v>969.136</v>
      </c>
      <c r="P91" s="17" t="str">
        <f t="shared" si="8"/>
        <v>2025_2</v>
      </c>
      <c r="Q91" s="17" t="str">
        <f t="shared" si="9"/>
        <v>Não VIP</v>
      </c>
    </row>
    <row r="92" ht="22.5" customHeight="1">
      <c r="A92" s="9">
        <v>45710.0</v>
      </c>
      <c r="B92" s="10">
        <v>5130.0</v>
      </c>
      <c r="C92" s="11" t="s">
        <v>189</v>
      </c>
      <c r="D92" s="11" t="s">
        <v>43</v>
      </c>
      <c r="E92" s="11" t="s">
        <v>28</v>
      </c>
      <c r="F92" s="11" t="s">
        <v>48</v>
      </c>
      <c r="G92" s="12">
        <v>6.0</v>
      </c>
      <c r="H92" s="13">
        <v>1114.56</v>
      </c>
      <c r="I92" s="14">
        <f t="shared" si="1"/>
        <v>6687.36</v>
      </c>
      <c r="J92" s="15">
        <f t="shared" si="2"/>
        <v>2025</v>
      </c>
      <c r="K92" s="15">
        <f t="shared" si="3"/>
        <v>2</v>
      </c>
      <c r="L92" s="15">
        <f t="shared" si="4"/>
        <v>22</v>
      </c>
      <c r="M92" s="15">
        <f t="shared" si="5"/>
        <v>7</v>
      </c>
      <c r="N92" s="16">
        <f t="shared" si="6"/>
        <v>2674.944</v>
      </c>
      <c r="O92" s="16">
        <f t="shared" si="7"/>
        <v>668.736</v>
      </c>
      <c r="P92" s="17" t="str">
        <f t="shared" si="8"/>
        <v>2025_2</v>
      </c>
      <c r="Q92" s="17" t="str">
        <f t="shared" si="9"/>
        <v>Não VIP</v>
      </c>
    </row>
    <row r="93" ht="22.5" customHeight="1">
      <c r="A93" s="9">
        <v>45769.0</v>
      </c>
      <c r="B93" s="10">
        <v>9239.0</v>
      </c>
      <c r="C93" s="11" t="s">
        <v>192</v>
      </c>
      <c r="D93" s="11" t="s">
        <v>65</v>
      </c>
      <c r="E93" s="11" t="s">
        <v>19</v>
      </c>
      <c r="F93" s="11" t="s">
        <v>41</v>
      </c>
      <c r="G93" s="12">
        <v>5.0</v>
      </c>
      <c r="H93" s="13">
        <v>82.28</v>
      </c>
      <c r="I93" s="14">
        <f t="shared" si="1"/>
        <v>411.4</v>
      </c>
      <c r="J93" s="15">
        <f t="shared" si="2"/>
        <v>2025</v>
      </c>
      <c r="K93" s="15">
        <f t="shared" si="3"/>
        <v>4</v>
      </c>
      <c r="L93" s="15">
        <f t="shared" si="4"/>
        <v>22</v>
      </c>
      <c r="M93" s="15">
        <f t="shared" si="5"/>
        <v>3</v>
      </c>
      <c r="N93" s="16">
        <f t="shared" si="6"/>
        <v>164.56</v>
      </c>
      <c r="O93" s="16">
        <f t="shared" si="7"/>
        <v>41.14</v>
      </c>
      <c r="P93" s="17" t="str">
        <f t="shared" si="8"/>
        <v>2025_4</v>
      </c>
      <c r="Q93" s="17" t="str">
        <f t="shared" si="9"/>
        <v>Não VIP</v>
      </c>
    </row>
    <row r="94" ht="22.5" customHeight="1">
      <c r="A94" s="9">
        <v>45648.0</v>
      </c>
      <c r="B94" s="10">
        <v>6804.0</v>
      </c>
      <c r="C94" s="11" t="s">
        <v>193</v>
      </c>
      <c r="D94" s="11" t="s">
        <v>65</v>
      </c>
      <c r="E94" s="11" t="s">
        <v>28</v>
      </c>
      <c r="F94" s="11" t="s">
        <v>76</v>
      </c>
      <c r="G94" s="12">
        <v>1.0</v>
      </c>
      <c r="H94" s="13">
        <v>207.49</v>
      </c>
      <c r="I94" s="14">
        <f t="shared" si="1"/>
        <v>207.49</v>
      </c>
      <c r="J94" s="15">
        <f t="shared" si="2"/>
        <v>2024</v>
      </c>
      <c r="K94" s="15">
        <f t="shared" si="3"/>
        <v>12</v>
      </c>
      <c r="L94" s="15">
        <f t="shared" si="4"/>
        <v>22</v>
      </c>
      <c r="M94" s="15">
        <f t="shared" si="5"/>
        <v>1</v>
      </c>
      <c r="N94" s="16">
        <f t="shared" si="6"/>
        <v>82.996</v>
      </c>
      <c r="O94" s="16">
        <f t="shared" si="7"/>
        <v>20.749</v>
      </c>
      <c r="P94" s="17" t="str">
        <f t="shared" si="8"/>
        <v>2024_12</v>
      </c>
      <c r="Q94" s="17" t="str">
        <f t="shared" si="9"/>
        <v>Não VIP</v>
      </c>
    </row>
    <row r="95" ht="22.5" customHeight="1">
      <c r="A95" s="9">
        <v>45648.0</v>
      </c>
      <c r="B95" s="10">
        <v>7232.0</v>
      </c>
      <c r="C95" s="11" t="s">
        <v>194</v>
      </c>
      <c r="D95" s="11" t="s">
        <v>18</v>
      </c>
      <c r="E95" s="11" t="s">
        <v>38</v>
      </c>
      <c r="F95" s="11" t="s">
        <v>54</v>
      </c>
      <c r="G95" s="12">
        <v>1.0</v>
      </c>
      <c r="H95" s="13">
        <v>840.27</v>
      </c>
      <c r="I95" s="14">
        <f t="shared" si="1"/>
        <v>840.27</v>
      </c>
      <c r="J95" s="15">
        <f t="shared" si="2"/>
        <v>2024</v>
      </c>
      <c r="K95" s="15">
        <f t="shared" si="3"/>
        <v>12</v>
      </c>
      <c r="L95" s="15">
        <f t="shared" si="4"/>
        <v>22</v>
      </c>
      <c r="M95" s="15">
        <f t="shared" si="5"/>
        <v>1</v>
      </c>
      <c r="N95" s="16">
        <f t="shared" si="6"/>
        <v>336.108</v>
      </c>
      <c r="O95" s="16">
        <f t="shared" si="7"/>
        <v>84.027</v>
      </c>
      <c r="P95" s="17" t="str">
        <f t="shared" si="8"/>
        <v>2024_12</v>
      </c>
      <c r="Q95" s="17" t="str">
        <f t="shared" si="9"/>
        <v>Não VIP</v>
      </c>
    </row>
    <row r="96" ht="22.5" customHeight="1">
      <c r="A96" s="9">
        <v>45680.0</v>
      </c>
      <c r="B96" s="10">
        <v>1722.0</v>
      </c>
      <c r="C96" s="11" t="s">
        <v>196</v>
      </c>
      <c r="D96" s="11" t="s">
        <v>31</v>
      </c>
      <c r="E96" s="11" t="s">
        <v>19</v>
      </c>
      <c r="F96" s="11" t="s">
        <v>46</v>
      </c>
      <c r="G96" s="12">
        <v>8.0</v>
      </c>
      <c r="H96" s="13">
        <v>235.34</v>
      </c>
      <c r="I96" s="14">
        <f t="shared" si="1"/>
        <v>1882.72</v>
      </c>
      <c r="J96" s="15">
        <f t="shared" si="2"/>
        <v>2025</v>
      </c>
      <c r="K96" s="15">
        <f t="shared" si="3"/>
        <v>1</v>
      </c>
      <c r="L96" s="15">
        <f t="shared" si="4"/>
        <v>23</v>
      </c>
      <c r="M96" s="15">
        <f t="shared" si="5"/>
        <v>5</v>
      </c>
      <c r="N96" s="16">
        <f t="shared" si="6"/>
        <v>753.088</v>
      </c>
      <c r="O96" s="16">
        <f t="shared" si="7"/>
        <v>188.272</v>
      </c>
      <c r="P96" s="17" t="str">
        <f t="shared" si="8"/>
        <v>2025_1</v>
      </c>
      <c r="Q96" s="17" t="str">
        <f t="shared" si="9"/>
        <v>Não VIP</v>
      </c>
    </row>
    <row r="97" ht="22.5" customHeight="1">
      <c r="A97" s="9">
        <v>45680.0</v>
      </c>
      <c r="B97" s="10">
        <v>9109.0</v>
      </c>
      <c r="C97" s="11" t="s">
        <v>198</v>
      </c>
      <c r="D97" s="11" t="s">
        <v>65</v>
      </c>
      <c r="E97" s="11" t="s">
        <v>28</v>
      </c>
      <c r="F97" s="11" t="s">
        <v>98</v>
      </c>
      <c r="G97" s="12">
        <v>6.0</v>
      </c>
      <c r="H97" s="13">
        <v>1558.15</v>
      </c>
      <c r="I97" s="14">
        <f t="shared" si="1"/>
        <v>9348.9</v>
      </c>
      <c r="J97" s="15">
        <f t="shared" si="2"/>
        <v>2025</v>
      </c>
      <c r="K97" s="15">
        <f t="shared" si="3"/>
        <v>1</v>
      </c>
      <c r="L97" s="15">
        <f t="shared" si="4"/>
        <v>23</v>
      </c>
      <c r="M97" s="15">
        <f t="shared" si="5"/>
        <v>5</v>
      </c>
      <c r="N97" s="16">
        <f t="shared" si="6"/>
        <v>3739.56</v>
      </c>
      <c r="O97" s="16">
        <f t="shared" si="7"/>
        <v>934.89</v>
      </c>
      <c r="P97" s="17" t="str">
        <f t="shared" si="8"/>
        <v>2025_1</v>
      </c>
      <c r="Q97" s="17" t="str">
        <f t="shared" si="9"/>
        <v>Não VIP</v>
      </c>
    </row>
    <row r="98" ht="22.5" customHeight="1">
      <c r="A98" s="9">
        <v>45800.0</v>
      </c>
      <c r="B98" s="10">
        <v>6541.0</v>
      </c>
      <c r="C98" s="11" t="s">
        <v>201</v>
      </c>
      <c r="D98" s="11" t="s">
        <v>18</v>
      </c>
      <c r="E98" s="11" t="s">
        <v>32</v>
      </c>
      <c r="F98" s="11" t="s">
        <v>33</v>
      </c>
      <c r="G98" s="12">
        <v>2.0</v>
      </c>
      <c r="H98" s="13">
        <v>916.94</v>
      </c>
      <c r="I98" s="14">
        <f t="shared" si="1"/>
        <v>1833.88</v>
      </c>
      <c r="J98" s="15">
        <f t="shared" si="2"/>
        <v>2025</v>
      </c>
      <c r="K98" s="15">
        <f t="shared" si="3"/>
        <v>5</v>
      </c>
      <c r="L98" s="15">
        <f t="shared" si="4"/>
        <v>23</v>
      </c>
      <c r="M98" s="15">
        <f t="shared" si="5"/>
        <v>6</v>
      </c>
      <c r="N98" s="16">
        <f t="shared" si="6"/>
        <v>733.552</v>
      </c>
      <c r="O98" s="16">
        <f t="shared" si="7"/>
        <v>183.388</v>
      </c>
      <c r="P98" s="17" t="str">
        <f t="shared" si="8"/>
        <v>2025_5</v>
      </c>
      <c r="Q98" s="17" t="str">
        <f t="shared" si="9"/>
        <v>Não VIP</v>
      </c>
    </row>
    <row r="99" ht="22.5" customHeight="1">
      <c r="A99" s="9">
        <v>45681.0</v>
      </c>
      <c r="B99" s="10">
        <v>5571.0</v>
      </c>
      <c r="C99" s="11" t="s">
        <v>203</v>
      </c>
      <c r="D99" s="11" t="s">
        <v>22</v>
      </c>
      <c r="E99" s="11" t="s">
        <v>32</v>
      </c>
      <c r="F99" s="11" t="s">
        <v>56</v>
      </c>
      <c r="G99" s="12">
        <v>9.0</v>
      </c>
      <c r="H99" s="13">
        <v>607.82</v>
      </c>
      <c r="I99" s="14">
        <f t="shared" si="1"/>
        <v>5470.38</v>
      </c>
      <c r="J99" s="15">
        <f t="shared" si="2"/>
        <v>2025</v>
      </c>
      <c r="K99" s="15">
        <f t="shared" si="3"/>
        <v>1</v>
      </c>
      <c r="L99" s="15">
        <f t="shared" si="4"/>
        <v>24</v>
      </c>
      <c r="M99" s="15">
        <f t="shared" si="5"/>
        <v>6</v>
      </c>
      <c r="N99" s="16">
        <f t="shared" si="6"/>
        <v>2188.152</v>
      </c>
      <c r="O99" s="16">
        <f t="shared" si="7"/>
        <v>547.038</v>
      </c>
      <c r="P99" s="17" t="str">
        <f t="shared" si="8"/>
        <v>2025_1</v>
      </c>
      <c r="Q99" s="17" t="str">
        <f t="shared" si="9"/>
        <v>Não VIP</v>
      </c>
    </row>
    <row r="100" ht="22.5" customHeight="1">
      <c r="A100" s="9">
        <v>45712.0</v>
      </c>
      <c r="B100" s="10">
        <v>7331.0</v>
      </c>
      <c r="C100" s="11" t="s">
        <v>204</v>
      </c>
      <c r="D100" s="11" t="s">
        <v>22</v>
      </c>
      <c r="E100" s="11" t="s">
        <v>38</v>
      </c>
      <c r="F100" s="11" t="s">
        <v>54</v>
      </c>
      <c r="G100" s="12">
        <v>3.0</v>
      </c>
      <c r="H100" s="13">
        <v>1217.57</v>
      </c>
      <c r="I100" s="14">
        <f t="shared" si="1"/>
        <v>3652.71</v>
      </c>
      <c r="J100" s="15">
        <f t="shared" si="2"/>
        <v>2025</v>
      </c>
      <c r="K100" s="15">
        <f t="shared" si="3"/>
        <v>2</v>
      </c>
      <c r="L100" s="15">
        <f t="shared" si="4"/>
        <v>24</v>
      </c>
      <c r="M100" s="15">
        <f t="shared" si="5"/>
        <v>2</v>
      </c>
      <c r="N100" s="16">
        <f t="shared" si="6"/>
        <v>1461.084</v>
      </c>
      <c r="O100" s="16">
        <f t="shared" si="7"/>
        <v>365.271</v>
      </c>
      <c r="P100" s="17" t="str">
        <f t="shared" si="8"/>
        <v>2025_2</v>
      </c>
      <c r="Q100" s="17" t="str">
        <f t="shared" si="9"/>
        <v>Não VIP</v>
      </c>
    </row>
    <row r="101" ht="22.5" customHeight="1">
      <c r="A101" s="9">
        <v>45771.0</v>
      </c>
      <c r="B101" s="10">
        <v>5200.0</v>
      </c>
      <c r="C101" s="11" t="s">
        <v>206</v>
      </c>
      <c r="D101" s="11" t="s">
        <v>18</v>
      </c>
      <c r="E101" s="11" t="s">
        <v>23</v>
      </c>
      <c r="F101" s="11" t="s">
        <v>35</v>
      </c>
      <c r="G101" s="12">
        <v>2.0</v>
      </c>
      <c r="H101" s="13">
        <v>2146.1</v>
      </c>
      <c r="I101" s="14">
        <f t="shared" si="1"/>
        <v>4292.2</v>
      </c>
      <c r="J101" s="15">
        <f t="shared" si="2"/>
        <v>2025</v>
      </c>
      <c r="K101" s="15">
        <f t="shared" si="3"/>
        <v>4</v>
      </c>
      <c r="L101" s="15">
        <f t="shared" si="4"/>
        <v>24</v>
      </c>
      <c r="M101" s="15">
        <f t="shared" si="5"/>
        <v>5</v>
      </c>
      <c r="N101" s="16">
        <f t="shared" si="6"/>
        <v>1716.88</v>
      </c>
      <c r="O101" s="16">
        <f t="shared" si="7"/>
        <v>429.22</v>
      </c>
      <c r="P101" s="17" t="str">
        <f t="shared" si="8"/>
        <v>2025_4</v>
      </c>
      <c r="Q101" s="17" t="str">
        <f t="shared" si="9"/>
        <v>Não VIP</v>
      </c>
    </row>
    <row r="102" ht="22.5" customHeight="1">
      <c r="A102" s="9">
        <v>45650.0</v>
      </c>
      <c r="B102" s="10">
        <v>3384.0</v>
      </c>
      <c r="C102" s="11" t="s">
        <v>209</v>
      </c>
      <c r="D102" s="11" t="s">
        <v>22</v>
      </c>
      <c r="E102" s="11" t="s">
        <v>32</v>
      </c>
      <c r="F102" s="11" t="s">
        <v>56</v>
      </c>
      <c r="G102" s="12">
        <v>5.0</v>
      </c>
      <c r="H102" s="13">
        <v>1132.81</v>
      </c>
      <c r="I102" s="14">
        <f t="shared" si="1"/>
        <v>5664.05</v>
      </c>
      <c r="J102" s="15">
        <f t="shared" si="2"/>
        <v>2024</v>
      </c>
      <c r="K102" s="15">
        <f t="shared" si="3"/>
        <v>12</v>
      </c>
      <c r="L102" s="15">
        <f t="shared" si="4"/>
        <v>24</v>
      </c>
      <c r="M102" s="15">
        <f t="shared" si="5"/>
        <v>3</v>
      </c>
      <c r="N102" s="16">
        <f t="shared" si="6"/>
        <v>2265.62</v>
      </c>
      <c r="O102" s="16">
        <f t="shared" si="7"/>
        <v>566.405</v>
      </c>
      <c r="P102" s="17" t="str">
        <f t="shared" si="8"/>
        <v>2024_12</v>
      </c>
      <c r="Q102" s="17" t="str">
        <f t="shared" si="9"/>
        <v>Não VIP</v>
      </c>
    </row>
    <row r="103" ht="22.5" customHeight="1">
      <c r="A103" s="9">
        <v>45682.0</v>
      </c>
      <c r="B103" s="10">
        <v>8707.0</v>
      </c>
      <c r="C103" s="11" t="s">
        <v>211</v>
      </c>
      <c r="D103" s="11" t="s">
        <v>27</v>
      </c>
      <c r="E103" s="11" t="s">
        <v>32</v>
      </c>
      <c r="F103" s="11" t="s">
        <v>33</v>
      </c>
      <c r="G103" s="12">
        <v>10.0</v>
      </c>
      <c r="H103" s="13">
        <v>116.63</v>
      </c>
      <c r="I103" s="14">
        <f t="shared" si="1"/>
        <v>1166.3</v>
      </c>
      <c r="J103" s="15">
        <f t="shared" si="2"/>
        <v>2025</v>
      </c>
      <c r="K103" s="15">
        <f t="shared" si="3"/>
        <v>1</v>
      </c>
      <c r="L103" s="15">
        <f t="shared" si="4"/>
        <v>25</v>
      </c>
      <c r="M103" s="15">
        <f t="shared" si="5"/>
        <v>7</v>
      </c>
      <c r="N103" s="16">
        <f t="shared" si="6"/>
        <v>466.52</v>
      </c>
      <c r="O103" s="16">
        <f t="shared" si="7"/>
        <v>116.63</v>
      </c>
      <c r="P103" s="17" t="str">
        <f t="shared" si="8"/>
        <v>2025_1</v>
      </c>
      <c r="Q103" s="17" t="str">
        <f t="shared" si="9"/>
        <v>Não VIP</v>
      </c>
    </row>
    <row r="104" ht="22.5" customHeight="1">
      <c r="A104" s="9">
        <v>45651.0</v>
      </c>
      <c r="B104" s="10">
        <v>5593.0</v>
      </c>
      <c r="C104" s="11" t="s">
        <v>214</v>
      </c>
      <c r="D104" s="11" t="s">
        <v>31</v>
      </c>
      <c r="E104" s="11" t="s">
        <v>32</v>
      </c>
      <c r="F104" s="11" t="s">
        <v>78</v>
      </c>
      <c r="G104" s="12">
        <v>5.0</v>
      </c>
      <c r="H104" s="13">
        <v>234.04</v>
      </c>
      <c r="I104" s="14">
        <f t="shared" si="1"/>
        <v>1170.2</v>
      </c>
      <c r="J104" s="15">
        <f t="shared" si="2"/>
        <v>2024</v>
      </c>
      <c r="K104" s="15">
        <f t="shared" si="3"/>
        <v>12</v>
      </c>
      <c r="L104" s="15">
        <f t="shared" si="4"/>
        <v>25</v>
      </c>
      <c r="M104" s="15">
        <f t="shared" si="5"/>
        <v>4</v>
      </c>
      <c r="N104" s="16">
        <f t="shared" si="6"/>
        <v>468.08</v>
      </c>
      <c r="O104" s="16">
        <f t="shared" si="7"/>
        <v>117.02</v>
      </c>
      <c r="P104" s="17" t="str">
        <f t="shared" si="8"/>
        <v>2024_12</v>
      </c>
      <c r="Q104" s="17" t="str">
        <f t="shared" si="9"/>
        <v>Não VIP</v>
      </c>
    </row>
    <row r="105" ht="22.5" customHeight="1">
      <c r="A105" s="9">
        <v>45651.0</v>
      </c>
      <c r="B105" s="10">
        <v>9471.0</v>
      </c>
      <c r="C105" s="11" t="s">
        <v>216</v>
      </c>
      <c r="D105" s="11" t="s">
        <v>65</v>
      </c>
      <c r="E105" s="11" t="s">
        <v>19</v>
      </c>
      <c r="F105" s="11" t="s">
        <v>20</v>
      </c>
      <c r="G105" s="12">
        <v>10.0</v>
      </c>
      <c r="H105" s="13">
        <v>984.74</v>
      </c>
      <c r="I105" s="14">
        <f t="shared" si="1"/>
        <v>9847.4</v>
      </c>
      <c r="J105" s="15">
        <f t="shared" si="2"/>
        <v>2024</v>
      </c>
      <c r="K105" s="15">
        <f t="shared" si="3"/>
        <v>12</v>
      </c>
      <c r="L105" s="15">
        <f t="shared" si="4"/>
        <v>25</v>
      </c>
      <c r="M105" s="15">
        <f t="shared" si="5"/>
        <v>4</v>
      </c>
      <c r="N105" s="16">
        <f t="shared" si="6"/>
        <v>3938.96</v>
      </c>
      <c r="O105" s="16">
        <f t="shared" si="7"/>
        <v>984.74</v>
      </c>
      <c r="P105" s="17" t="str">
        <f t="shared" si="8"/>
        <v>2024_12</v>
      </c>
      <c r="Q105" s="17" t="str">
        <f t="shared" si="9"/>
        <v>Não VIP</v>
      </c>
    </row>
    <row r="106" ht="22.5" customHeight="1">
      <c r="A106" s="9">
        <v>45714.0</v>
      </c>
      <c r="B106" s="10">
        <v>1273.0</v>
      </c>
      <c r="C106" s="11" t="s">
        <v>218</v>
      </c>
      <c r="D106" s="11" t="s">
        <v>22</v>
      </c>
      <c r="E106" s="11" t="s">
        <v>32</v>
      </c>
      <c r="F106" s="11" t="s">
        <v>78</v>
      </c>
      <c r="G106" s="12">
        <v>7.0</v>
      </c>
      <c r="H106" s="13">
        <v>384.15</v>
      </c>
      <c r="I106" s="14">
        <f t="shared" si="1"/>
        <v>2689.05</v>
      </c>
      <c r="J106" s="15">
        <f t="shared" si="2"/>
        <v>2025</v>
      </c>
      <c r="K106" s="15">
        <f t="shared" si="3"/>
        <v>2</v>
      </c>
      <c r="L106" s="15">
        <f t="shared" si="4"/>
        <v>26</v>
      </c>
      <c r="M106" s="15">
        <f t="shared" si="5"/>
        <v>4</v>
      </c>
      <c r="N106" s="16">
        <f t="shared" si="6"/>
        <v>1075.62</v>
      </c>
      <c r="O106" s="16">
        <f t="shared" si="7"/>
        <v>268.905</v>
      </c>
      <c r="P106" s="17" t="str">
        <f t="shared" si="8"/>
        <v>2025_2</v>
      </c>
      <c r="Q106" s="17" t="str">
        <f t="shared" si="9"/>
        <v>Não VIP</v>
      </c>
    </row>
    <row r="107" ht="22.5" customHeight="1">
      <c r="A107" s="9">
        <v>45773.0</v>
      </c>
      <c r="B107" s="10">
        <v>1307.0</v>
      </c>
      <c r="C107" s="11" t="s">
        <v>219</v>
      </c>
      <c r="D107" s="11" t="s">
        <v>31</v>
      </c>
      <c r="E107" s="11" t="s">
        <v>28</v>
      </c>
      <c r="F107" s="11" t="s">
        <v>29</v>
      </c>
      <c r="G107" s="12">
        <v>2.0</v>
      </c>
      <c r="H107" s="13">
        <v>2625.24</v>
      </c>
      <c r="I107" s="14">
        <f t="shared" si="1"/>
        <v>5250.48</v>
      </c>
      <c r="J107" s="15">
        <f t="shared" si="2"/>
        <v>2025</v>
      </c>
      <c r="K107" s="15">
        <f t="shared" si="3"/>
        <v>4</v>
      </c>
      <c r="L107" s="15">
        <f t="shared" si="4"/>
        <v>26</v>
      </c>
      <c r="M107" s="15">
        <f t="shared" si="5"/>
        <v>7</v>
      </c>
      <c r="N107" s="16">
        <f t="shared" si="6"/>
        <v>2100.192</v>
      </c>
      <c r="O107" s="16">
        <f t="shared" si="7"/>
        <v>525.048</v>
      </c>
      <c r="P107" s="17" t="str">
        <f t="shared" si="8"/>
        <v>2025_4</v>
      </c>
      <c r="Q107" s="17" t="str">
        <f t="shared" si="9"/>
        <v>Não VIP</v>
      </c>
    </row>
    <row r="108" ht="22.5" customHeight="1">
      <c r="A108" s="9">
        <v>45803.0</v>
      </c>
      <c r="B108" s="10">
        <v>3189.0</v>
      </c>
      <c r="C108" s="11" t="s">
        <v>220</v>
      </c>
      <c r="D108" s="11" t="s">
        <v>37</v>
      </c>
      <c r="E108" s="11" t="s">
        <v>19</v>
      </c>
      <c r="F108" s="11" t="s">
        <v>44</v>
      </c>
      <c r="G108" s="12">
        <v>1.0</v>
      </c>
      <c r="H108" s="13">
        <v>2524.68</v>
      </c>
      <c r="I108" s="14">
        <f t="shared" si="1"/>
        <v>2524.68</v>
      </c>
      <c r="J108" s="15">
        <f t="shared" si="2"/>
        <v>2025</v>
      </c>
      <c r="K108" s="15">
        <f t="shared" si="3"/>
        <v>5</v>
      </c>
      <c r="L108" s="15">
        <f t="shared" si="4"/>
        <v>26</v>
      </c>
      <c r="M108" s="15">
        <f t="shared" si="5"/>
        <v>2</v>
      </c>
      <c r="N108" s="16">
        <f t="shared" si="6"/>
        <v>1009.872</v>
      </c>
      <c r="O108" s="16">
        <f t="shared" si="7"/>
        <v>252.468</v>
      </c>
      <c r="P108" s="17" t="str">
        <f t="shared" si="8"/>
        <v>2025_5</v>
      </c>
      <c r="Q108" s="17" t="str">
        <f t="shared" si="9"/>
        <v>Não VIP</v>
      </c>
    </row>
    <row r="109" ht="22.5" customHeight="1">
      <c r="A109" s="9">
        <v>45652.0</v>
      </c>
      <c r="B109" s="10">
        <v>2183.0</v>
      </c>
      <c r="C109" s="11" t="s">
        <v>221</v>
      </c>
      <c r="D109" s="11" t="s">
        <v>43</v>
      </c>
      <c r="E109" s="11" t="s">
        <v>19</v>
      </c>
      <c r="F109" s="11" t="s">
        <v>44</v>
      </c>
      <c r="G109" s="12">
        <v>4.0</v>
      </c>
      <c r="H109" s="13">
        <v>2082.2</v>
      </c>
      <c r="I109" s="14">
        <f t="shared" si="1"/>
        <v>8328.8</v>
      </c>
      <c r="J109" s="15">
        <f t="shared" si="2"/>
        <v>2024</v>
      </c>
      <c r="K109" s="15">
        <f t="shared" si="3"/>
        <v>12</v>
      </c>
      <c r="L109" s="15">
        <f t="shared" si="4"/>
        <v>26</v>
      </c>
      <c r="M109" s="15">
        <f t="shared" si="5"/>
        <v>5</v>
      </c>
      <c r="N109" s="16">
        <f t="shared" si="6"/>
        <v>3331.52</v>
      </c>
      <c r="O109" s="16">
        <f t="shared" si="7"/>
        <v>832.88</v>
      </c>
      <c r="P109" s="17" t="str">
        <f t="shared" si="8"/>
        <v>2024_12</v>
      </c>
      <c r="Q109" s="17" t="str">
        <f t="shared" si="9"/>
        <v>Não VIP</v>
      </c>
    </row>
    <row r="110" ht="22.5" customHeight="1">
      <c r="A110" s="9">
        <v>45684.0</v>
      </c>
      <c r="B110" s="10">
        <v>3301.0</v>
      </c>
      <c r="C110" s="11" t="s">
        <v>222</v>
      </c>
      <c r="D110" s="11" t="s">
        <v>65</v>
      </c>
      <c r="E110" s="11" t="s">
        <v>32</v>
      </c>
      <c r="F110" s="11" t="s">
        <v>56</v>
      </c>
      <c r="G110" s="12">
        <v>7.0</v>
      </c>
      <c r="H110" s="13">
        <v>104.92</v>
      </c>
      <c r="I110" s="14">
        <f t="shared" si="1"/>
        <v>734.44</v>
      </c>
      <c r="J110" s="15">
        <f t="shared" si="2"/>
        <v>2025</v>
      </c>
      <c r="K110" s="15">
        <f t="shared" si="3"/>
        <v>1</v>
      </c>
      <c r="L110" s="15">
        <f t="shared" si="4"/>
        <v>27</v>
      </c>
      <c r="M110" s="15">
        <f t="shared" si="5"/>
        <v>2</v>
      </c>
      <c r="N110" s="16">
        <f t="shared" si="6"/>
        <v>293.776</v>
      </c>
      <c r="O110" s="16">
        <f t="shared" si="7"/>
        <v>73.444</v>
      </c>
      <c r="P110" s="17" t="str">
        <f t="shared" si="8"/>
        <v>2025_1</v>
      </c>
      <c r="Q110" s="17" t="str">
        <f t="shared" si="9"/>
        <v>Não VIP</v>
      </c>
    </row>
    <row r="111" ht="22.5" customHeight="1">
      <c r="A111" s="9">
        <v>45684.0</v>
      </c>
      <c r="B111" s="10">
        <v>8380.0</v>
      </c>
      <c r="C111" s="11" t="s">
        <v>223</v>
      </c>
      <c r="D111" s="11" t="s">
        <v>31</v>
      </c>
      <c r="E111" s="11" t="s">
        <v>23</v>
      </c>
      <c r="F111" s="11" t="s">
        <v>35</v>
      </c>
      <c r="G111" s="12">
        <v>5.0</v>
      </c>
      <c r="H111" s="13">
        <v>721.18</v>
      </c>
      <c r="I111" s="14">
        <f t="shared" si="1"/>
        <v>3605.9</v>
      </c>
      <c r="J111" s="15">
        <f t="shared" si="2"/>
        <v>2025</v>
      </c>
      <c r="K111" s="15">
        <f t="shared" si="3"/>
        <v>1</v>
      </c>
      <c r="L111" s="15">
        <f t="shared" si="4"/>
        <v>27</v>
      </c>
      <c r="M111" s="15">
        <f t="shared" si="5"/>
        <v>2</v>
      </c>
      <c r="N111" s="16">
        <f t="shared" si="6"/>
        <v>1442.36</v>
      </c>
      <c r="O111" s="16">
        <f t="shared" si="7"/>
        <v>360.59</v>
      </c>
      <c r="P111" s="17" t="str">
        <f t="shared" si="8"/>
        <v>2025_1</v>
      </c>
      <c r="Q111" s="17" t="str">
        <f t="shared" si="9"/>
        <v>Não VIP</v>
      </c>
    </row>
    <row r="112" ht="22.5" customHeight="1">
      <c r="A112" s="9">
        <v>45684.0</v>
      </c>
      <c r="B112" s="10">
        <v>8894.0</v>
      </c>
      <c r="C112" s="11" t="s">
        <v>224</v>
      </c>
      <c r="D112" s="11" t="s">
        <v>31</v>
      </c>
      <c r="E112" s="11" t="s">
        <v>32</v>
      </c>
      <c r="F112" s="11" t="s">
        <v>85</v>
      </c>
      <c r="G112" s="12">
        <v>9.0</v>
      </c>
      <c r="H112" s="13">
        <v>341.75</v>
      </c>
      <c r="I112" s="14">
        <f t="shared" si="1"/>
        <v>3075.75</v>
      </c>
      <c r="J112" s="15">
        <f t="shared" si="2"/>
        <v>2025</v>
      </c>
      <c r="K112" s="15">
        <f t="shared" si="3"/>
        <v>1</v>
      </c>
      <c r="L112" s="15">
        <f t="shared" si="4"/>
        <v>27</v>
      </c>
      <c r="M112" s="15">
        <f t="shared" si="5"/>
        <v>2</v>
      </c>
      <c r="N112" s="16">
        <f t="shared" si="6"/>
        <v>1230.3</v>
      </c>
      <c r="O112" s="16">
        <f t="shared" si="7"/>
        <v>307.575</v>
      </c>
      <c r="P112" s="17" t="str">
        <f t="shared" si="8"/>
        <v>2025_1</v>
      </c>
      <c r="Q112" s="17" t="str">
        <f t="shared" si="9"/>
        <v>Não VIP</v>
      </c>
    </row>
    <row r="113" ht="22.5" customHeight="1">
      <c r="A113" s="9">
        <v>45774.0</v>
      </c>
      <c r="B113" s="10">
        <v>5032.0</v>
      </c>
      <c r="C113" s="11" t="s">
        <v>225</v>
      </c>
      <c r="D113" s="11" t="s">
        <v>18</v>
      </c>
      <c r="E113" s="11" t="s">
        <v>28</v>
      </c>
      <c r="F113" s="11" t="s">
        <v>29</v>
      </c>
      <c r="G113" s="12">
        <v>4.0</v>
      </c>
      <c r="H113" s="13">
        <v>56.89</v>
      </c>
      <c r="I113" s="14">
        <f t="shared" si="1"/>
        <v>227.56</v>
      </c>
      <c r="J113" s="15">
        <f t="shared" si="2"/>
        <v>2025</v>
      </c>
      <c r="K113" s="15">
        <f t="shared" si="3"/>
        <v>4</v>
      </c>
      <c r="L113" s="15">
        <f t="shared" si="4"/>
        <v>27</v>
      </c>
      <c r="M113" s="15">
        <f t="shared" si="5"/>
        <v>1</v>
      </c>
      <c r="N113" s="16">
        <f t="shared" si="6"/>
        <v>91.024</v>
      </c>
      <c r="O113" s="16">
        <f t="shared" si="7"/>
        <v>22.756</v>
      </c>
      <c r="P113" s="17" t="str">
        <f t="shared" si="8"/>
        <v>2025_4</v>
      </c>
      <c r="Q113" s="17" t="str">
        <f t="shared" si="9"/>
        <v>Não VIP</v>
      </c>
    </row>
    <row r="114" ht="22.5" customHeight="1">
      <c r="A114" s="9">
        <v>45804.0</v>
      </c>
      <c r="B114" s="10">
        <v>8035.0</v>
      </c>
      <c r="C114" s="11" t="s">
        <v>226</v>
      </c>
      <c r="D114" s="11" t="s">
        <v>18</v>
      </c>
      <c r="E114" s="11" t="s">
        <v>38</v>
      </c>
      <c r="F114" s="11" t="s">
        <v>54</v>
      </c>
      <c r="G114" s="12">
        <v>2.0</v>
      </c>
      <c r="H114" s="13">
        <v>40.59</v>
      </c>
      <c r="I114" s="14">
        <f t="shared" si="1"/>
        <v>81.18</v>
      </c>
      <c r="J114" s="15">
        <f t="shared" si="2"/>
        <v>2025</v>
      </c>
      <c r="K114" s="15">
        <f t="shared" si="3"/>
        <v>5</v>
      </c>
      <c r="L114" s="15">
        <f t="shared" si="4"/>
        <v>27</v>
      </c>
      <c r="M114" s="15">
        <f t="shared" si="5"/>
        <v>3</v>
      </c>
      <c r="N114" s="16">
        <f t="shared" si="6"/>
        <v>32.472</v>
      </c>
      <c r="O114" s="16">
        <f t="shared" si="7"/>
        <v>8.118</v>
      </c>
      <c r="P114" s="17" t="str">
        <f t="shared" si="8"/>
        <v>2025_5</v>
      </c>
      <c r="Q114" s="17" t="str">
        <f t="shared" si="9"/>
        <v>Não VIP</v>
      </c>
    </row>
    <row r="115" ht="22.5" customHeight="1">
      <c r="A115" s="9">
        <v>45653.0</v>
      </c>
      <c r="B115" s="10">
        <v>8085.0</v>
      </c>
      <c r="C115" s="11" t="s">
        <v>229</v>
      </c>
      <c r="D115" s="11" t="s">
        <v>43</v>
      </c>
      <c r="E115" s="11" t="s">
        <v>23</v>
      </c>
      <c r="F115" s="11" t="s">
        <v>125</v>
      </c>
      <c r="G115" s="12">
        <v>6.0</v>
      </c>
      <c r="H115" s="13">
        <v>997.47</v>
      </c>
      <c r="I115" s="14">
        <f t="shared" si="1"/>
        <v>5984.82</v>
      </c>
      <c r="J115" s="15">
        <f t="shared" si="2"/>
        <v>2024</v>
      </c>
      <c r="K115" s="15">
        <f t="shared" si="3"/>
        <v>12</v>
      </c>
      <c r="L115" s="15">
        <f t="shared" si="4"/>
        <v>27</v>
      </c>
      <c r="M115" s="15">
        <f t="shared" si="5"/>
        <v>6</v>
      </c>
      <c r="N115" s="16">
        <f t="shared" si="6"/>
        <v>2393.928</v>
      </c>
      <c r="O115" s="16">
        <f t="shared" si="7"/>
        <v>598.482</v>
      </c>
      <c r="P115" s="17" t="str">
        <f t="shared" si="8"/>
        <v>2024_12</v>
      </c>
      <c r="Q115" s="17" t="str">
        <f t="shared" si="9"/>
        <v>Não VIP</v>
      </c>
    </row>
    <row r="116" ht="22.5" customHeight="1">
      <c r="A116" s="9">
        <v>45744.0</v>
      </c>
      <c r="B116" s="10">
        <v>4023.0</v>
      </c>
      <c r="C116" s="11" t="s">
        <v>236</v>
      </c>
      <c r="D116" s="11" t="s">
        <v>31</v>
      </c>
      <c r="E116" s="11" t="s">
        <v>28</v>
      </c>
      <c r="F116" s="11" t="s">
        <v>29</v>
      </c>
      <c r="G116" s="12">
        <v>6.0</v>
      </c>
      <c r="H116" s="13">
        <v>1224.69</v>
      </c>
      <c r="I116" s="14">
        <f t="shared" si="1"/>
        <v>7348.14</v>
      </c>
      <c r="J116" s="15">
        <f t="shared" si="2"/>
        <v>2025</v>
      </c>
      <c r="K116" s="15">
        <f t="shared" si="3"/>
        <v>3</v>
      </c>
      <c r="L116" s="15">
        <f t="shared" si="4"/>
        <v>28</v>
      </c>
      <c r="M116" s="15">
        <f t="shared" si="5"/>
        <v>6</v>
      </c>
      <c r="N116" s="16">
        <f t="shared" si="6"/>
        <v>2939.256</v>
      </c>
      <c r="O116" s="16">
        <f t="shared" si="7"/>
        <v>734.814</v>
      </c>
      <c r="P116" s="17" t="str">
        <f t="shared" si="8"/>
        <v>2025_3</v>
      </c>
      <c r="Q116" s="17" t="str">
        <f t="shared" si="9"/>
        <v>Não VIP</v>
      </c>
    </row>
    <row r="117" ht="22.5" customHeight="1">
      <c r="A117" s="9">
        <v>45805.0</v>
      </c>
      <c r="B117" s="10">
        <v>2378.0</v>
      </c>
      <c r="C117" s="11" t="s">
        <v>238</v>
      </c>
      <c r="D117" s="11" t="s">
        <v>27</v>
      </c>
      <c r="E117" s="11" t="s">
        <v>38</v>
      </c>
      <c r="F117" s="11" t="s">
        <v>39</v>
      </c>
      <c r="G117" s="12">
        <v>6.0</v>
      </c>
      <c r="H117" s="13">
        <v>126.5</v>
      </c>
      <c r="I117" s="14">
        <f t="shared" si="1"/>
        <v>759</v>
      </c>
      <c r="J117" s="15">
        <f t="shared" si="2"/>
        <v>2025</v>
      </c>
      <c r="K117" s="15">
        <f t="shared" si="3"/>
        <v>5</v>
      </c>
      <c r="L117" s="15">
        <f t="shared" si="4"/>
        <v>28</v>
      </c>
      <c r="M117" s="15">
        <f t="shared" si="5"/>
        <v>4</v>
      </c>
      <c r="N117" s="16">
        <f t="shared" si="6"/>
        <v>303.6</v>
      </c>
      <c r="O117" s="16">
        <f t="shared" si="7"/>
        <v>75.9</v>
      </c>
      <c r="P117" s="17" t="str">
        <f t="shared" si="8"/>
        <v>2025_5</v>
      </c>
      <c r="Q117" s="17" t="str">
        <f t="shared" si="9"/>
        <v>Não VIP</v>
      </c>
    </row>
    <row r="118" ht="22.5" customHeight="1">
      <c r="A118" s="9">
        <v>45654.0</v>
      </c>
      <c r="B118" s="10">
        <v>3476.0</v>
      </c>
      <c r="C118" s="11" t="s">
        <v>239</v>
      </c>
      <c r="D118" s="11" t="s">
        <v>27</v>
      </c>
      <c r="E118" s="11" t="s">
        <v>32</v>
      </c>
      <c r="F118" s="11" t="s">
        <v>100</v>
      </c>
      <c r="G118" s="12">
        <v>1.0</v>
      </c>
      <c r="H118" s="13">
        <v>2895.27</v>
      </c>
      <c r="I118" s="14">
        <f t="shared" si="1"/>
        <v>2895.27</v>
      </c>
      <c r="J118" s="15">
        <f t="shared" si="2"/>
        <v>2024</v>
      </c>
      <c r="K118" s="15">
        <f t="shared" si="3"/>
        <v>12</v>
      </c>
      <c r="L118" s="15">
        <f t="shared" si="4"/>
        <v>28</v>
      </c>
      <c r="M118" s="15">
        <f t="shared" si="5"/>
        <v>7</v>
      </c>
      <c r="N118" s="16">
        <f t="shared" si="6"/>
        <v>1158.108</v>
      </c>
      <c r="O118" s="16">
        <f t="shared" si="7"/>
        <v>289.527</v>
      </c>
      <c r="P118" s="17" t="str">
        <f t="shared" si="8"/>
        <v>2024_12</v>
      </c>
      <c r="Q118" s="17" t="str">
        <f t="shared" si="9"/>
        <v>Não VIP</v>
      </c>
    </row>
    <row r="119" ht="22.5" customHeight="1">
      <c r="A119" s="9">
        <v>45745.0</v>
      </c>
      <c r="B119" s="10">
        <v>3470.0</v>
      </c>
      <c r="C119" s="11" t="s">
        <v>240</v>
      </c>
      <c r="D119" s="11" t="s">
        <v>65</v>
      </c>
      <c r="E119" s="11" t="s">
        <v>28</v>
      </c>
      <c r="F119" s="11" t="s">
        <v>29</v>
      </c>
      <c r="G119" s="12">
        <v>5.0</v>
      </c>
      <c r="H119" s="13">
        <v>637.17</v>
      </c>
      <c r="I119" s="14">
        <f t="shared" si="1"/>
        <v>3185.85</v>
      </c>
      <c r="J119" s="15">
        <f t="shared" si="2"/>
        <v>2025</v>
      </c>
      <c r="K119" s="15">
        <f t="shared" si="3"/>
        <v>3</v>
      </c>
      <c r="L119" s="15">
        <f t="shared" si="4"/>
        <v>29</v>
      </c>
      <c r="M119" s="15">
        <f t="shared" si="5"/>
        <v>7</v>
      </c>
      <c r="N119" s="16">
        <f t="shared" si="6"/>
        <v>1274.34</v>
      </c>
      <c r="O119" s="16">
        <f t="shared" si="7"/>
        <v>318.585</v>
      </c>
      <c r="P119" s="17" t="str">
        <f t="shared" si="8"/>
        <v>2025_3</v>
      </c>
      <c r="Q119" s="17" t="str">
        <f t="shared" si="9"/>
        <v>Não VIP</v>
      </c>
    </row>
    <row r="120" ht="22.5" customHeight="1">
      <c r="A120" s="9">
        <v>45806.0</v>
      </c>
      <c r="B120" s="10">
        <v>3703.0</v>
      </c>
      <c r="C120" s="11" t="s">
        <v>243</v>
      </c>
      <c r="D120" s="11" t="s">
        <v>22</v>
      </c>
      <c r="E120" s="11" t="s">
        <v>38</v>
      </c>
      <c r="F120" s="11" t="s">
        <v>66</v>
      </c>
      <c r="G120" s="12">
        <v>7.0</v>
      </c>
      <c r="H120" s="13">
        <v>384.78</v>
      </c>
      <c r="I120" s="14">
        <f t="shared" si="1"/>
        <v>2693.46</v>
      </c>
      <c r="J120" s="15">
        <f t="shared" si="2"/>
        <v>2025</v>
      </c>
      <c r="K120" s="15">
        <f t="shared" si="3"/>
        <v>5</v>
      </c>
      <c r="L120" s="15">
        <f t="shared" si="4"/>
        <v>29</v>
      </c>
      <c r="M120" s="15">
        <f t="shared" si="5"/>
        <v>5</v>
      </c>
      <c r="N120" s="16">
        <f t="shared" si="6"/>
        <v>1077.384</v>
      </c>
      <c r="O120" s="16">
        <f t="shared" si="7"/>
        <v>269.346</v>
      </c>
      <c r="P120" s="17" t="str">
        <f t="shared" si="8"/>
        <v>2025_5</v>
      </c>
      <c r="Q120" s="17" t="str">
        <f t="shared" si="9"/>
        <v>Não VIP</v>
      </c>
    </row>
    <row r="121" ht="22.5" customHeight="1">
      <c r="A121" s="9">
        <v>45655.0</v>
      </c>
      <c r="B121" s="10">
        <v>6117.0</v>
      </c>
      <c r="C121" s="11" t="s">
        <v>244</v>
      </c>
      <c r="D121" s="11" t="s">
        <v>43</v>
      </c>
      <c r="E121" s="11" t="s">
        <v>28</v>
      </c>
      <c r="F121" s="11" t="s">
        <v>76</v>
      </c>
      <c r="G121" s="12">
        <v>6.0</v>
      </c>
      <c r="H121" s="13">
        <v>896.99</v>
      </c>
      <c r="I121" s="14">
        <f t="shared" si="1"/>
        <v>5381.94</v>
      </c>
      <c r="J121" s="15">
        <f t="shared" si="2"/>
        <v>2024</v>
      </c>
      <c r="K121" s="15">
        <f t="shared" si="3"/>
        <v>12</v>
      </c>
      <c r="L121" s="15">
        <f t="shared" si="4"/>
        <v>29</v>
      </c>
      <c r="M121" s="15">
        <f t="shared" si="5"/>
        <v>1</v>
      </c>
      <c r="N121" s="16">
        <f t="shared" si="6"/>
        <v>2152.776</v>
      </c>
      <c r="O121" s="16">
        <f t="shared" si="7"/>
        <v>538.194</v>
      </c>
      <c r="P121" s="17" t="str">
        <f t="shared" si="8"/>
        <v>2024_12</v>
      </c>
      <c r="Q121" s="17" t="str">
        <f t="shared" si="9"/>
        <v>Não VIP</v>
      </c>
    </row>
    <row r="122" ht="22.5" customHeight="1">
      <c r="A122" s="9">
        <v>45746.0</v>
      </c>
      <c r="B122" s="10">
        <v>4288.0</v>
      </c>
      <c r="C122" s="11" t="s">
        <v>245</v>
      </c>
      <c r="D122" s="11" t="s">
        <v>22</v>
      </c>
      <c r="E122" s="11" t="s">
        <v>19</v>
      </c>
      <c r="F122" s="11" t="s">
        <v>58</v>
      </c>
      <c r="G122" s="12">
        <v>4.0</v>
      </c>
      <c r="H122" s="13">
        <v>418.23</v>
      </c>
      <c r="I122" s="14">
        <f t="shared" si="1"/>
        <v>1672.92</v>
      </c>
      <c r="J122" s="15">
        <f t="shared" si="2"/>
        <v>2025</v>
      </c>
      <c r="K122" s="15">
        <f t="shared" si="3"/>
        <v>3</v>
      </c>
      <c r="L122" s="15">
        <f t="shared" si="4"/>
        <v>30</v>
      </c>
      <c r="M122" s="15">
        <f t="shared" si="5"/>
        <v>1</v>
      </c>
      <c r="N122" s="16">
        <f t="shared" si="6"/>
        <v>669.168</v>
      </c>
      <c r="O122" s="16">
        <f t="shared" si="7"/>
        <v>167.292</v>
      </c>
      <c r="P122" s="17" t="str">
        <f t="shared" si="8"/>
        <v>2025_3</v>
      </c>
      <c r="Q122" s="17" t="str">
        <f t="shared" si="9"/>
        <v>Não VIP</v>
      </c>
    </row>
    <row r="123" ht="22.5" customHeight="1">
      <c r="A123" s="9">
        <v>45746.0</v>
      </c>
      <c r="B123" s="10">
        <v>2612.0</v>
      </c>
      <c r="C123" s="11" t="s">
        <v>246</v>
      </c>
      <c r="D123" s="11" t="s">
        <v>22</v>
      </c>
      <c r="E123" s="11" t="s">
        <v>32</v>
      </c>
      <c r="F123" s="11" t="s">
        <v>56</v>
      </c>
      <c r="G123" s="12">
        <v>4.0</v>
      </c>
      <c r="H123" s="13">
        <v>1886.77</v>
      </c>
      <c r="I123" s="14">
        <f t="shared" si="1"/>
        <v>7547.08</v>
      </c>
      <c r="J123" s="15">
        <f t="shared" si="2"/>
        <v>2025</v>
      </c>
      <c r="K123" s="15">
        <f t="shared" si="3"/>
        <v>3</v>
      </c>
      <c r="L123" s="15">
        <f t="shared" si="4"/>
        <v>30</v>
      </c>
      <c r="M123" s="15">
        <f t="shared" si="5"/>
        <v>1</v>
      </c>
      <c r="N123" s="16">
        <f t="shared" si="6"/>
        <v>3018.832</v>
      </c>
      <c r="O123" s="16">
        <f t="shared" si="7"/>
        <v>754.708</v>
      </c>
      <c r="P123" s="17" t="str">
        <f t="shared" si="8"/>
        <v>2025_3</v>
      </c>
      <c r="Q123" s="17" t="str">
        <f t="shared" si="9"/>
        <v>Não VIP</v>
      </c>
    </row>
    <row r="124" ht="22.5" customHeight="1">
      <c r="A124" s="9">
        <v>45746.0</v>
      </c>
      <c r="B124" s="10">
        <v>3696.0</v>
      </c>
      <c r="C124" s="11" t="s">
        <v>247</v>
      </c>
      <c r="D124" s="11" t="s">
        <v>43</v>
      </c>
      <c r="E124" s="11" t="s">
        <v>23</v>
      </c>
      <c r="F124" s="11" t="s">
        <v>35</v>
      </c>
      <c r="G124" s="12">
        <v>1.0</v>
      </c>
      <c r="H124" s="13">
        <v>2660.26</v>
      </c>
      <c r="I124" s="14">
        <f t="shared" si="1"/>
        <v>2660.26</v>
      </c>
      <c r="J124" s="15">
        <f t="shared" si="2"/>
        <v>2025</v>
      </c>
      <c r="K124" s="15">
        <f t="shared" si="3"/>
        <v>3</v>
      </c>
      <c r="L124" s="15">
        <f t="shared" si="4"/>
        <v>30</v>
      </c>
      <c r="M124" s="15">
        <f t="shared" si="5"/>
        <v>1</v>
      </c>
      <c r="N124" s="16">
        <f t="shared" si="6"/>
        <v>1064.104</v>
      </c>
      <c r="O124" s="16">
        <f t="shared" si="7"/>
        <v>266.026</v>
      </c>
      <c r="P124" s="17" t="str">
        <f t="shared" si="8"/>
        <v>2025_3</v>
      </c>
      <c r="Q124" s="17" t="str">
        <f t="shared" si="9"/>
        <v>Não VIP</v>
      </c>
    </row>
    <row r="125" ht="22.5" customHeight="1">
      <c r="A125" s="9">
        <v>45777.0</v>
      </c>
      <c r="B125" s="10">
        <v>5748.0</v>
      </c>
      <c r="C125" s="11" t="s">
        <v>248</v>
      </c>
      <c r="D125" s="11" t="s">
        <v>31</v>
      </c>
      <c r="E125" s="11" t="s">
        <v>19</v>
      </c>
      <c r="F125" s="11" t="s">
        <v>44</v>
      </c>
      <c r="G125" s="12">
        <v>8.0</v>
      </c>
      <c r="H125" s="13">
        <v>192.91</v>
      </c>
      <c r="I125" s="14">
        <f t="shared" si="1"/>
        <v>1543.28</v>
      </c>
      <c r="J125" s="15">
        <f t="shared" si="2"/>
        <v>2025</v>
      </c>
      <c r="K125" s="15">
        <f t="shared" si="3"/>
        <v>4</v>
      </c>
      <c r="L125" s="15">
        <f t="shared" si="4"/>
        <v>30</v>
      </c>
      <c r="M125" s="15">
        <f t="shared" si="5"/>
        <v>4</v>
      </c>
      <c r="N125" s="16">
        <f t="shared" si="6"/>
        <v>617.312</v>
      </c>
      <c r="O125" s="16">
        <f t="shared" si="7"/>
        <v>154.328</v>
      </c>
      <c r="P125" s="17" t="str">
        <f t="shared" si="8"/>
        <v>2025_4</v>
      </c>
      <c r="Q125" s="17" t="str">
        <f t="shared" si="9"/>
        <v>Não VIP</v>
      </c>
    </row>
    <row r="126" ht="22.5" customHeight="1">
      <c r="A126" s="9">
        <v>45807.0</v>
      </c>
      <c r="B126" s="10">
        <v>7919.0</v>
      </c>
      <c r="C126" s="11" t="s">
        <v>249</v>
      </c>
      <c r="D126" s="11" t="s">
        <v>27</v>
      </c>
      <c r="E126" s="11" t="s">
        <v>23</v>
      </c>
      <c r="F126" s="11" t="s">
        <v>52</v>
      </c>
      <c r="G126" s="12">
        <v>5.0</v>
      </c>
      <c r="H126" s="13">
        <v>1264.31</v>
      </c>
      <c r="I126" s="14">
        <f t="shared" si="1"/>
        <v>6321.55</v>
      </c>
      <c r="J126" s="15">
        <f t="shared" si="2"/>
        <v>2025</v>
      </c>
      <c r="K126" s="15">
        <f t="shared" si="3"/>
        <v>5</v>
      </c>
      <c r="L126" s="15">
        <f t="shared" si="4"/>
        <v>30</v>
      </c>
      <c r="M126" s="15">
        <f t="shared" si="5"/>
        <v>6</v>
      </c>
      <c r="N126" s="16">
        <f t="shared" si="6"/>
        <v>2528.62</v>
      </c>
      <c r="O126" s="16">
        <f t="shared" si="7"/>
        <v>632.155</v>
      </c>
      <c r="P126" s="17" t="str">
        <f t="shared" si="8"/>
        <v>2025_5</v>
      </c>
      <c r="Q126" s="17" t="str">
        <f t="shared" si="9"/>
        <v>Não VIP</v>
      </c>
    </row>
    <row r="127" ht="22.5" customHeight="1">
      <c r="A127" s="9">
        <v>45656.0</v>
      </c>
      <c r="B127" s="10">
        <v>1087.0</v>
      </c>
      <c r="C127" s="11" t="s">
        <v>250</v>
      </c>
      <c r="D127" s="11" t="s">
        <v>65</v>
      </c>
      <c r="E127" s="11" t="s">
        <v>23</v>
      </c>
      <c r="F127" s="11" t="s">
        <v>80</v>
      </c>
      <c r="G127" s="12">
        <v>1.0</v>
      </c>
      <c r="H127" s="13">
        <v>2319.21</v>
      </c>
      <c r="I127" s="14">
        <f t="shared" si="1"/>
        <v>2319.21</v>
      </c>
      <c r="J127" s="15">
        <f t="shared" si="2"/>
        <v>2024</v>
      </c>
      <c r="K127" s="15">
        <f t="shared" si="3"/>
        <v>12</v>
      </c>
      <c r="L127" s="15">
        <f t="shared" si="4"/>
        <v>30</v>
      </c>
      <c r="M127" s="15">
        <f t="shared" si="5"/>
        <v>2</v>
      </c>
      <c r="N127" s="16">
        <f t="shared" si="6"/>
        <v>927.684</v>
      </c>
      <c r="O127" s="16">
        <f t="shared" si="7"/>
        <v>231.921</v>
      </c>
      <c r="P127" s="17" t="str">
        <f t="shared" si="8"/>
        <v>2024_12</v>
      </c>
      <c r="Q127" s="17" t="str">
        <f t="shared" si="9"/>
        <v>Não VIP</v>
      </c>
    </row>
    <row r="128" ht="22.5" customHeight="1">
      <c r="A128" s="9">
        <v>45747.0</v>
      </c>
      <c r="B128" s="10">
        <v>4959.0</v>
      </c>
      <c r="C128" s="11" t="s">
        <v>252</v>
      </c>
      <c r="D128" s="11" t="s">
        <v>43</v>
      </c>
      <c r="E128" s="11" t="s">
        <v>23</v>
      </c>
      <c r="F128" s="11" t="s">
        <v>80</v>
      </c>
      <c r="G128" s="12">
        <v>3.0</v>
      </c>
      <c r="H128" s="13">
        <v>1022.47</v>
      </c>
      <c r="I128" s="14">
        <f t="shared" si="1"/>
        <v>3067.41</v>
      </c>
      <c r="J128" s="15">
        <f t="shared" si="2"/>
        <v>2025</v>
      </c>
      <c r="K128" s="15">
        <f t="shared" si="3"/>
        <v>3</v>
      </c>
      <c r="L128" s="15">
        <f t="shared" si="4"/>
        <v>31</v>
      </c>
      <c r="M128" s="15">
        <f t="shared" si="5"/>
        <v>2</v>
      </c>
      <c r="N128" s="16">
        <f t="shared" si="6"/>
        <v>1226.964</v>
      </c>
      <c r="O128" s="16">
        <f t="shared" si="7"/>
        <v>306.741</v>
      </c>
      <c r="P128" s="17" t="str">
        <f t="shared" si="8"/>
        <v>2025_3</v>
      </c>
      <c r="Q128" s="17" t="str">
        <f t="shared" si="9"/>
        <v>Não VIP</v>
      </c>
    </row>
  </sheetData>
  <dataValidations>
    <dataValidation type="custom" allowBlank="1" showDropDown="1" sqref="A2:A128">
      <formula1>OR(NOT(ISERROR(DATEVALUE(A2))), AND(ISNUMBER(A2), LEFT(CELL("format", A2))="D"))</formula1>
    </dataValidation>
    <dataValidation type="custom" allowBlank="1" showDropDown="1" sqref="B2:B128 G2:I128 N2:O128">
      <formula1>AND(ISNUMBER(B2),(NOT(OR(NOT(ISERROR(DATEVALUE(B2))), AND(ISNUMBER(B2), LEFT(CELL("format", B2))="D")))))</formula1>
    </dataValidation>
    <dataValidation allowBlank="1" showDropDown="1" sqref="C2:F12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20.86"/>
    <col customWidth="1" min="3" max="3" width="15.86"/>
    <col customWidth="1" min="4" max="4" width="13.43"/>
    <col customWidth="1" min="5" max="5" width="12.29"/>
    <col customWidth="1" min="6" max="8" width="13.43"/>
  </cols>
  <sheetData>
    <row r="1"/>
    <row r="2"/>
    <row r="3"/>
    <row r="4">
      <c r="K4" s="32"/>
    </row>
    <row r="5">
      <c r="K5" s="32"/>
    </row>
    <row r="6">
      <c r="B6" s="33"/>
      <c r="C6" s="34"/>
      <c r="D6" s="33"/>
      <c r="E6" s="33"/>
      <c r="F6" s="33"/>
      <c r="G6" s="33"/>
      <c r="H6" s="33"/>
      <c r="I6" s="33"/>
      <c r="K6" s="32"/>
    </row>
    <row r="7">
      <c r="B7" s="33"/>
      <c r="C7" s="34"/>
      <c r="D7" s="33"/>
      <c r="E7" s="33"/>
      <c r="F7" s="33"/>
      <c r="G7" s="33"/>
      <c r="H7" s="33"/>
      <c r="I7" s="33"/>
      <c r="K7" s="32"/>
    </row>
    <row r="8">
      <c r="B8" s="33"/>
      <c r="C8" s="34"/>
      <c r="D8" s="33"/>
      <c r="E8" s="33"/>
      <c r="F8" s="33"/>
      <c r="G8" s="33"/>
      <c r="H8" s="33"/>
      <c r="I8" s="33"/>
      <c r="K8" s="32"/>
    </row>
    <row r="9">
      <c r="C9" s="34"/>
    </row>
    <row r="10">
      <c r="C10" s="34"/>
    </row>
    <row r="11">
      <c r="C11" s="34"/>
    </row>
    <row r="12">
      <c r="C12" s="34"/>
    </row>
    <row r="13">
      <c r="C13" s="34"/>
    </row>
    <row r="14">
      <c r="C14" s="35"/>
    </row>
    <row r="15">
      <c r="C15" s="35"/>
    </row>
    <row r="16">
      <c r="C16" s="35"/>
    </row>
    <row r="17">
      <c r="C17" s="35"/>
    </row>
    <row r="18">
      <c r="C18" s="35"/>
    </row>
    <row r="19">
      <c r="C19" s="35"/>
    </row>
    <row r="20">
      <c r="C20" s="35"/>
    </row>
    <row r="21">
      <c r="C21" s="35"/>
    </row>
    <row r="22">
      <c r="C22" s="35"/>
    </row>
    <row r="23">
      <c r="C23" s="35"/>
    </row>
    <row r="24">
      <c r="C24" s="35"/>
    </row>
    <row r="25">
      <c r="C25" s="35"/>
    </row>
    <row r="26">
      <c r="C26" s="35"/>
    </row>
    <row r="27">
      <c r="C27" s="35"/>
    </row>
    <row r="28">
      <c r="C28" s="35"/>
    </row>
    <row r="29">
      <c r="C29" s="35"/>
    </row>
    <row r="30">
      <c r="C30" s="35"/>
    </row>
    <row r="31">
      <c r="C31" s="35"/>
    </row>
    <row r="32">
      <c r="C32" s="35"/>
    </row>
    <row r="33">
      <c r="C33" s="35"/>
    </row>
    <row r="34">
      <c r="C34" s="35"/>
    </row>
    <row r="35">
      <c r="C35" s="35"/>
    </row>
    <row r="36">
      <c r="C36" s="35"/>
    </row>
    <row r="37">
      <c r="C37" s="35"/>
    </row>
    <row r="38">
      <c r="C38" s="35"/>
    </row>
    <row r="39">
      <c r="C39" s="35"/>
    </row>
    <row r="40">
      <c r="C40" s="35"/>
    </row>
    <row r="41">
      <c r="C41" s="35"/>
    </row>
    <row r="42">
      <c r="C42" s="35"/>
    </row>
    <row r="43">
      <c r="C43" s="35"/>
    </row>
    <row r="44">
      <c r="C44" s="35"/>
    </row>
    <row r="45">
      <c r="C45" s="35"/>
    </row>
    <row r="46">
      <c r="C46" s="35"/>
    </row>
    <row r="47">
      <c r="C47" s="35"/>
    </row>
    <row r="48">
      <c r="C48" s="35"/>
    </row>
    <row r="49">
      <c r="C49" s="35"/>
    </row>
    <row r="50">
      <c r="C50" s="35"/>
    </row>
    <row r="51">
      <c r="C51" s="35"/>
    </row>
    <row r="52">
      <c r="C52" s="35"/>
    </row>
    <row r="53">
      <c r="C53" s="35"/>
    </row>
    <row r="54">
      <c r="C54" s="35"/>
    </row>
    <row r="55">
      <c r="C55" s="35"/>
    </row>
    <row r="56">
      <c r="C56" s="35"/>
    </row>
    <row r="57">
      <c r="C57" s="35"/>
    </row>
    <row r="58">
      <c r="C58" s="35"/>
    </row>
    <row r="59">
      <c r="C59" s="35"/>
    </row>
    <row r="60">
      <c r="C60" s="35"/>
    </row>
    <row r="61">
      <c r="C61" s="35"/>
    </row>
    <row r="62">
      <c r="C62" s="35"/>
    </row>
    <row r="63">
      <c r="C63" s="35"/>
    </row>
    <row r="64">
      <c r="C64" s="35"/>
    </row>
    <row r="65">
      <c r="C65" s="35"/>
    </row>
    <row r="66">
      <c r="C66" s="35"/>
    </row>
    <row r="67">
      <c r="C67" s="35"/>
    </row>
    <row r="68">
      <c r="C68" s="35"/>
    </row>
    <row r="69">
      <c r="C69" s="35"/>
    </row>
    <row r="70">
      <c r="C70" s="35"/>
    </row>
    <row r="71">
      <c r="C71" s="35"/>
    </row>
    <row r="72">
      <c r="C72" s="35"/>
    </row>
    <row r="73">
      <c r="C73" s="35"/>
    </row>
    <row r="74">
      <c r="C74" s="35"/>
    </row>
    <row r="75">
      <c r="C75" s="35"/>
    </row>
    <row r="76">
      <c r="C76" s="35"/>
    </row>
    <row r="77">
      <c r="C77" s="35"/>
    </row>
    <row r="78">
      <c r="C78" s="35"/>
    </row>
    <row r="79">
      <c r="C79" s="35"/>
    </row>
    <row r="80">
      <c r="C80" s="35"/>
    </row>
    <row r="81">
      <c r="C81" s="35"/>
    </row>
    <row r="82">
      <c r="C82" s="35"/>
    </row>
    <row r="83">
      <c r="C83" s="35"/>
    </row>
    <row r="84">
      <c r="C84" s="35"/>
    </row>
    <row r="85">
      <c r="C85" s="35"/>
    </row>
    <row r="86">
      <c r="C86" s="35"/>
    </row>
    <row r="87">
      <c r="C87" s="35"/>
    </row>
    <row r="88">
      <c r="C88" s="35"/>
    </row>
    <row r="89">
      <c r="C89" s="35"/>
    </row>
    <row r="90">
      <c r="C90" s="35"/>
    </row>
    <row r="91">
      <c r="C91" s="35"/>
    </row>
    <row r="92">
      <c r="C92" s="35"/>
    </row>
    <row r="93">
      <c r="C93" s="35"/>
    </row>
    <row r="94">
      <c r="C94" s="35"/>
    </row>
    <row r="95">
      <c r="C95" s="35"/>
    </row>
    <row r="96">
      <c r="C96" s="35"/>
    </row>
    <row r="97">
      <c r="C97" s="35"/>
    </row>
    <row r="98">
      <c r="C98" s="35"/>
    </row>
    <row r="99">
      <c r="C99" s="35"/>
    </row>
    <row r="100">
      <c r="C100" s="35"/>
    </row>
    <row r="101">
      <c r="C101" s="35"/>
    </row>
    <row r="102">
      <c r="C102" s="35"/>
    </row>
    <row r="103">
      <c r="C103" s="35"/>
    </row>
    <row r="104">
      <c r="C104" s="35"/>
    </row>
    <row r="105">
      <c r="C105" s="35"/>
    </row>
    <row r="106">
      <c r="C106" s="35"/>
    </row>
    <row r="107">
      <c r="C107" s="35"/>
    </row>
    <row r="108">
      <c r="C108" s="35"/>
    </row>
    <row r="109">
      <c r="C109" s="35"/>
    </row>
    <row r="110">
      <c r="C110" s="35"/>
    </row>
    <row r="111">
      <c r="C111" s="35"/>
    </row>
    <row r="112">
      <c r="C112" s="35"/>
    </row>
    <row r="113">
      <c r="C113" s="35"/>
    </row>
    <row r="114">
      <c r="C114" s="35"/>
    </row>
    <row r="115">
      <c r="C115" s="35"/>
    </row>
    <row r="116">
      <c r="C116" s="35"/>
    </row>
    <row r="117">
      <c r="C117" s="35"/>
    </row>
    <row r="118">
      <c r="C118" s="35"/>
    </row>
    <row r="119">
      <c r="C119" s="35"/>
    </row>
    <row r="120">
      <c r="C120" s="35"/>
    </row>
    <row r="121">
      <c r="C121" s="35"/>
    </row>
    <row r="122">
      <c r="C122" s="35"/>
    </row>
    <row r="123">
      <c r="C123" s="35"/>
    </row>
    <row r="124">
      <c r="C124" s="35"/>
    </row>
    <row r="125">
      <c r="C125" s="35"/>
    </row>
    <row r="126">
      <c r="C126" s="35"/>
    </row>
    <row r="127">
      <c r="C127" s="35"/>
    </row>
    <row r="128">
      <c r="C128" s="35"/>
    </row>
    <row r="129">
      <c r="C129" s="35"/>
    </row>
    <row r="130">
      <c r="C130" s="35"/>
    </row>
    <row r="131">
      <c r="C131" s="35"/>
    </row>
    <row r="132">
      <c r="C132" s="35"/>
    </row>
    <row r="133">
      <c r="C133" s="35"/>
    </row>
    <row r="134">
      <c r="C134" s="35"/>
    </row>
    <row r="135">
      <c r="C135" s="35"/>
    </row>
    <row r="136">
      <c r="C136" s="35"/>
    </row>
    <row r="137">
      <c r="C137" s="35"/>
    </row>
    <row r="138">
      <c r="C138" s="35"/>
    </row>
    <row r="139">
      <c r="C139" s="35"/>
    </row>
    <row r="140">
      <c r="C140" s="35"/>
    </row>
    <row r="141">
      <c r="C141" s="35"/>
    </row>
    <row r="142">
      <c r="C142" s="35"/>
    </row>
    <row r="143">
      <c r="C143" s="35"/>
    </row>
    <row r="144">
      <c r="C144" s="35"/>
    </row>
    <row r="145">
      <c r="C145" s="35"/>
    </row>
    <row r="146">
      <c r="C146" s="35"/>
    </row>
    <row r="147">
      <c r="C147" s="35"/>
    </row>
    <row r="148">
      <c r="C148" s="35"/>
    </row>
    <row r="149">
      <c r="C149" s="35"/>
    </row>
    <row r="150">
      <c r="C150" s="35"/>
    </row>
    <row r="151">
      <c r="C151" s="35"/>
    </row>
    <row r="152">
      <c r="C152" s="35"/>
    </row>
    <row r="153">
      <c r="C153" s="35"/>
    </row>
    <row r="154">
      <c r="C154" s="35"/>
    </row>
    <row r="155">
      <c r="C155" s="35"/>
    </row>
    <row r="156">
      <c r="C156" s="35"/>
    </row>
    <row r="157">
      <c r="C157" s="35"/>
    </row>
    <row r="158">
      <c r="C158" s="35"/>
    </row>
    <row r="159">
      <c r="C159" s="35"/>
    </row>
    <row r="160">
      <c r="C160" s="35"/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  <row r="1000">
      <c r="C1000" s="3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3" max="3" width="18.14"/>
    <col customWidth="1" min="4" max="4" width="18.43"/>
    <col customWidth="1" min="5" max="5" width="22.0"/>
    <col customWidth="1" min="6" max="6" width="15.86"/>
  </cols>
  <sheetData>
    <row r="1">
      <c r="A1" s="36" t="s">
        <v>257</v>
      </c>
    </row>
    <row r="2"/>
    <row r="3">
      <c r="N3" s="18" t="s">
        <v>265</v>
      </c>
    </row>
    <row r="4">
      <c r="N4" s="18" t="s">
        <v>267</v>
      </c>
    </row>
    <row r="5">
      <c r="A5" s="40" t="s">
        <v>268</v>
      </c>
      <c r="B5" s="41">
        <f t="shared" ref="B5:H5" si="1">B4/$I$4</f>
        <v>0.1131094602</v>
      </c>
      <c r="C5" s="41">
        <f t="shared" si="1"/>
        <v>0.1505013125</v>
      </c>
      <c r="D5" s="41">
        <f t="shared" si="1"/>
        <v>0.1877229151</v>
      </c>
      <c r="E5" s="41">
        <f t="shared" si="1"/>
        <v>0.1707362281</v>
      </c>
      <c r="F5" s="41">
        <f t="shared" si="1"/>
        <v>0.1776761426</v>
      </c>
      <c r="G5" s="41">
        <f t="shared" si="1"/>
        <v>0.164142994</v>
      </c>
      <c r="H5" s="41">
        <f t="shared" si="1"/>
        <v>0.03611094744</v>
      </c>
      <c r="I5" s="41"/>
      <c r="N5" s="18" t="s">
        <v>269</v>
      </c>
    </row>
    <row r="6">
      <c r="A6" s="37" t="s">
        <v>270</v>
      </c>
      <c r="B6" s="32">
        <v>182.0</v>
      </c>
      <c r="C6" s="32">
        <v>196.0</v>
      </c>
      <c r="D6" s="32">
        <v>190.0</v>
      </c>
      <c r="E6" s="32">
        <v>167.0</v>
      </c>
      <c r="F6" s="32">
        <v>187.0</v>
      </c>
      <c r="G6" s="32">
        <v>187.0</v>
      </c>
      <c r="H6" s="32">
        <v>52.0</v>
      </c>
      <c r="I6" s="32">
        <v>1161.0</v>
      </c>
      <c r="N6" s="18" t="s">
        <v>271</v>
      </c>
    </row>
    <row r="7">
      <c r="A7" s="40" t="s">
        <v>272</v>
      </c>
      <c r="B7" s="41">
        <f t="shared" ref="B7:H7" si="2">B6/$I$6</f>
        <v>0.1567614126</v>
      </c>
      <c r="C7" s="41">
        <f t="shared" si="2"/>
        <v>0.1688199828</v>
      </c>
      <c r="D7" s="41">
        <f t="shared" si="2"/>
        <v>0.1636520241</v>
      </c>
      <c r="E7" s="41">
        <f t="shared" si="2"/>
        <v>0.1438415159</v>
      </c>
      <c r="F7" s="41">
        <f t="shared" si="2"/>
        <v>0.1610680448</v>
      </c>
      <c r="G7" s="41">
        <f t="shared" si="2"/>
        <v>0.1610680448</v>
      </c>
      <c r="H7" s="41">
        <f t="shared" si="2"/>
        <v>0.04478897502</v>
      </c>
    </row>
    <row r="8">
      <c r="A8" s="37" t="s">
        <v>273</v>
      </c>
      <c r="B8" s="27">
        <f t="shared" ref="B8:I8" si="3">B4/B6</f>
        <v>1045.659286</v>
      </c>
      <c r="C8" s="27">
        <f t="shared" si="3"/>
        <v>1291.953469</v>
      </c>
      <c r="D8" s="27">
        <f t="shared" si="3"/>
        <v>1662.364842</v>
      </c>
      <c r="E8" s="27">
        <f t="shared" si="3"/>
        <v>1720.171976</v>
      </c>
      <c r="F8" s="27">
        <f t="shared" si="3"/>
        <v>1598.638128</v>
      </c>
      <c r="G8" s="27">
        <f t="shared" si="3"/>
        <v>1476.87385</v>
      </c>
      <c r="H8" s="27">
        <f t="shared" si="3"/>
        <v>1168.417885</v>
      </c>
      <c r="I8" s="27">
        <f t="shared" si="3"/>
        <v>1449.207046</v>
      </c>
    </row>
    <row r="10">
      <c r="C10" s="18" t="s">
        <v>274</v>
      </c>
      <c r="D10" s="19">
        <f>D4-B4</f>
        <v>125539.33</v>
      </c>
      <c r="F10" s="28">
        <f>D10/B4</f>
        <v>0.6596570679</v>
      </c>
      <c r="G10" s="42">
        <f>(D11*100)/B6</f>
        <v>4.395604396</v>
      </c>
    </row>
    <row r="11">
      <c r="C11" s="18" t="s">
        <v>275</v>
      </c>
      <c r="D11" s="32">
        <f>D6-B6</f>
        <v>8</v>
      </c>
      <c r="E11" s="18" t="s">
        <v>276</v>
      </c>
    </row>
    <row r="13">
      <c r="A13" s="18" t="s">
        <v>277</v>
      </c>
    </row>
    <row r="14">
      <c r="G14" s="18" t="s">
        <v>278</v>
      </c>
    </row>
    <row r="15">
      <c r="G15" s="18" t="s">
        <v>279</v>
      </c>
    </row>
    <row r="16"/>
    <row r="17"/>
    <row r="18"/>
    <row r="19"/>
    <row r="20"/>
    <row r="22">
      <c r="A22" s="18" t="s">
        <v>280</v>
      </c>
    </row>
    <row r="23">
      <c r="C23" s="18" t="s">
        <v>281</v>
      </c>
    </row>
    <row r="24">
      <c r="C24" s="41">
        <f t="shared" ref="C24:C49" si="4">B24/$B$49</f>
        <v>0.07362467572</v>
      </c>
      <c r="J24" s="18" t="s">
        <v>282</v>
      </c>
    </row>
    <row r="25">
      <c r="C25" s="41">
        <f t="shared" si="4"/>
        <v>0.06773519164</v>
      </c>
      <c r="E25" s="18" t="s">
        <v>283</v>
      </c>
      <c r="F25" s="41">
        <f>SUM(C24:C28)</f>
        <v>0.3188925295</v>
      </c>
      <c r="J25" s="18" t="s">
        <v>284</v>
      </c>
    </row>
    <row r="26">
      <c r="C26" s="41">
        <f t="shared" si="4"/>
        <v>0.06161461501</v>
      </c>
      <c r="F26" s="33">
        <f>100/5</f>
        <v>20</v>
      </c>
      <c r="J26" s="18" t="s">
        <v>285</v>
      </c>
    </row>
    <row r="27">
      <c r="C27" s="41">
        <f t="shared" si="4"/>
        <v>0.05829390034</v>
      </c>
    </row>
    <row r="28">
      <c r="C28" s="41">
        <f t="shared" si="4"/>
        <v>0.05762414681</v>
      </c>
    </row>
    <row r="29">
      <c r="C29" s="41">
        <f t="shared" si="4"/>
        <v>0.05756882534</v>
      </c>
    </row>
    <row r="30">
      <c r="C30" s="41">
        <f t="shared" si="4"/>
        <v>0.04989225805</v>
      </c>
    </row>
    <row r="31">
      <c r="C31" s="41">
        <f t="shared" si="4"/>
        <v>0.04798504024</v>
      </c>
    </row>
    <row r="32">
      <c r="C32" s="41">
        <f t="shared" si="4"/>
        <v>0.04708905588</v>
      </c>
    </row>
    <row r="33">
      <c r="C33" s="41">
        <f t="shared" si="4"/>
        <v>0.04590529647</v>
      </c>
    </row>
    <row r="34">
      <c r="C34" s="41">
        <f t="shared" si="4"/>
        <v>0.04468440248</v>
      </c>
    </row>
    <row r="35">
      <c r="C35" s="41">
        <f t="shared" si="4"/>
        <v>0.04035623437</v>
      </c>
    </row>
    <row r="36">
      <c r="C36" s="41">
        <f t="shared" si="4"/>
        <v>0.03974779923</v>
      </c>
    </row>
    <row r="37">
      <c r="C37" s="41">
        <f t="shared" si="4"/>
        <v>0.03844195577</v>
      </c>
    </row>
    <row r="38">
      <c r="C38" s="41">
        <f t="shared" si="4"/>
        <v>0.03205985621</v>
      </c>
    </row>
    <row r="39">
      <c r="C39" s="41">
        <f t="shared" si="4"/>
        <v>0.03193169798</v>
      </c>
    </row>
    <row r="40">
      <c r="C40" s="41">
        <f t="shared" si="4"/>
        <v>0.03010880559</v>
      </c>
    </row>
    <row r="41">
      <c r="C41" s="41">
        <f t="shared" si="4"/>
        <v>0.0285020699</v>
      </c>
    </row>
    <row r="42">
      <c r="C42" s="41">
        <f t="shared" si="4"/>
        <v>0.02784643202</v>
      </c>
    </row>
    <row r="43">
      <c r="C43" s="41">
        <f t="shared" si="4"/>
        <v>0.0274258985</v>
      </c>
    </row>
    <row r="44">
      <c r="C44" s="41">
        <f t="shared" si="4"/>
        <v>0.02400115593</v>
      </c>
    </row>
    <row r="45">
      <c r="C45" s="41">
        <f t="shared" si="4"/>
        <v>0.02243063357</v>
      </c>
    </row>
    <row r="46">
      <c r="C46" s="41">
        <f t="shared" si="4"/>
        <v>0.01679656257</v>
      </c>
    </row>
    <row r="47">
      <c r="C47" s="41">
        <f t="shared" si="4"/>
        <v>0.01529272553</v>
      </c>
    </row>
    <row r="48">
      <c r="C48" s="41">
        <f t="shared" si="4"/>
        <v>0.01304076485</v>
      </c>
    </row>
    <row r="49">
      <c r="C49" s="41">
        <f t="shared" si="4"/>
        <v>1</v>
      </c>
    </row>
    <row r="52">
      <c r="A52" s="18" t="s">
        <v>286</v>
      </c>
    </row>
    <row r="53">
      <c r="C53" s="18" t="s">
        <v>287</v>
      </c>
      <c r="G53" s="18" t="s">
        <v>288</v>
      </c>
    </row>
    <row r="54">
      <c r="C54" s="41">
        <f t="shared" ref="C54:C60" si="5">(B54)/$B$61</f>
        <v>0.2340959776</v>
      </c>
      <c r="G54" s="18" t="s">
        <v>289</v>
      </c>
    </row>
    <row r="55">
      <c r="C55" s="41">
        <f t="shared" si="5"/>
        <v>0.1603691996</v>
      </c>
      <c r="G55" s="18" t="s">
        <v>290</v>
      </c>
    </row>
    <row r="56">
      <c r="C56" s="41">
        <f t="shared" si="5"/>
        <v>0.1504445705</v>
      </c>
    </row>
    <row r="57">
      <c r="C57" s="41">
        <f t="shared" si="5"/>
        <v>0.1333779562</v>
      </c>
    </row>
    <row r="58">
      <c r="C58" s="41">
        <f t="shared" si="5"/>
        <v>0.1259780022</v>
      </c>
    </row>
    <row r="59">
      <c r="C59" s="41">
        <f t="shared" si="5"/>
        <v>0.1035732999</v>
      </c>
    </row>
    <row r="60">
      <c r="C60" s="41">
        <f t="shared" si="5"/>
        <v>0.09216099394</v>
      </c>
    </row>
    <row r="61"/>
    <row r="65">
      <c r="F65" s="28" t="s">
        <v>294</v>
      </c>
      <c r="G65" s="18" t="s">
        <v>295</v>
      </c>
      <c r="H65" s="18" t="s">
        <v>296</v>
      </c>
      <c r="K65" s="27">
        <f>H66-H67</f>
        <v>12249.80102</v>
      </c>
      <c r="L65" s="18" t="s">
        <v>297</v>
      </c>
    </row>
    <row r="66">
      <c r="F66" s="28">
        <v>73.0</v>
      </c>
      <c r="G66" s="41">
        <f t="shared" ref="G66:G68" si="6">F66/$F$68</f>
        <v>0.365</v>
      </c>
      <c r="H66" s="27">
        <f t="shared" ref="H66:H68" si="7">B66/F66</f>
        <v>16191.27055</v>
      </c>
      <c r="I66" s="41"/>
      <c r="J66" s="41"/>
      <c r="K66" s="41"/>
      <c r="L66" s="18" t="s">
        <v>298</v>
      </c>
    </row>
    <row r="67">
      <c r="F67" s="28">
        <v>127.0</v>
      </c>
      <c r="G67" s="41">
        <f t="shared" si="6"/>
        <v>0.635</v>
      </c>
      <c r="H67" s="27">
        <f t="shared" si="7"/>
        <v>3941.469528</v>
      </c>
      <c r="I67" s="41"/>
      <c r="J67" s="41"/>
      <c r="K67" s="41"/>
      <c r="L67" s="18" t="s">
        <v>299</v>
      </c>
    </row>
    <row r="68">
      <c r="F68" s="28">
        <v>200.0</v>
      </c>
      <c r="G68" s="41">
        <f t="shared" si="6"/>
        <v>1</v>
      </c>
      <c r="H68" s="27">
        <f t="shared" si="7"/>
        <v>8412.6469</v>
      </c>
      <c r="I68" s="41"/>
      <c r="J68" s="41"/>
      <c r="K68" s="41"/>
      <c r="L68" s="41"/>
    </row>
    <row r="71"/>
    <row r="72"/>
    <row r="73">
      <c r="K73" s="18" t="s">
        <v>300</v>
      </c>
    </row>
    <row r="74">
      <c r="K74" s="18" t="s">
        <v>301</v>
      </c>
    </row>
    <row r="75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13">
      <c r="H113" s="45" t="s">
        <v>303</v>
      </c>
    </row>
    <row r="114">
      <c r="H114" s="46">
        <v>0.0</v>
      </c>
    </row>
    <row r="115">
      <c r="H115" s="47">
        <f t="shared" ref="H115:H120" si="8">(G115-G114)/G114</f>
        <v>0.3305811219</v>
      </c>
      <c r="I115" s="18" t="s">
        <v>304</v>
      </c>
    </row>
    <row r="116">
      <c r="H116" s="47">
        <f t="shared" si="8"/>
        <v>0.247317462</v>
      </c>
    </row>
    <row r="117">
      <c r="H117" s="47">
        <f t="shared" si="8"/>
        <v>-0.09048808463</v>
      </c>
    </row>
    <row r="118">
      <c r="H118" s="47">
        <f t="shared" si="8"/>
        <v>0.04064699422</v>
      </c>
    </row>
    <row r="119">
      <c r="H119" s="47">
        <f t="shared" si="8"/>
        <v>-0.07616750528</v>
      </c>
    </row>
    <row r="120">
      <c r="H120" s="47">
        <f t="shared" si="8"/>
        <v>-0.7800031147</v>
      </c>
    </row>
    <row r="121">
      <c r="H121" s="47"/>
    </row>
  </sheetData>
  <mergeCells count="1">
    <mergeCell ref="A1:N1"/>
  </mergeCell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4" max="4" width="18.43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>
      <c r="A2" s="48" t="s">
        <v>305</v>
      </c>
      <c r="J2" s="48"/>
      <c r="K2" s="36"/>
      <c r="L2" s="36"/>
      <c r="M2" s="36"/>
      <c r="N2" s="36"/>
      <c r="O2" s="36"/>
      <c r="P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>
      <c r="A4" s="49" t="s">
        <v>306</v>
      </c>
      <c r="J4" s="36"/>
      <c r="K4" s="36"/>
      <c r="L4" s="36"/>
      <c r="M4" s="36"/>
      <c r="N4" s="36"/>
      <c r="O4" s="36"/>
      <c r="P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>
      <c r="A6" s="50" t="s">
        <v>307</v>
      </c>
      <c r="J6" s="36"/>
      <c r="K6" s="36"/>
      <c r="L6" s="36"/>
      <c r="M6" s="36"/>
      <c r="N6" s="36"/>
      <c r="O6" s="36"/>
      <c r="P6" s="36"/>
    </row>
    <row r="7">
      <c r="A7" s="51" t="s">
        <v>308</v>
      </c>
      <c r="J7" s="36"/>
      <c r="K7" s="36"/>
      <c r="L7" s="36"/>
      <c r="M7" s="36"/>
      <c r="N7" s="36"/>
      <c r="O7" s="36"/>
      <c r="P7" s="36"/>
    </row>
    <row r="8" ht="211.5" customHeight="1">
      <c r="A8" s="51"/>
      <c r="B8" s="51"/>
      <c r="C8" s="51"/>
      <c r="D8" s="51"/>
      <c r="E8" s="51"/>
      <c r="F8" s="51"/>
      <c r="G8" s="51"/>
      <c r="H8" s="51"/>
      <c r="I8" s="51"/>
      <c r="J8" s="36"/>
      <c r="K8" s="36"/>
      <c r="L8" s="36"/>
      <c r="M8" s="36"/>
      <c r="N8" s="36"/>
      <c r="O8" s="36"/>
      <c r="P8" s="36"/>
    </row>
    <row r="9">
      <c r="J9" s="36"/>
      <c r="K9" s="36"/>
      <c r="L9" s="36"/>
      <c r="M9" s="36"/>
      <c r="N9" s="36"/>
      <c r="O9" s="36"/>
      <c r="P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>
      <c r="A11" s="51" t="s">
        <v>309</v>
      </c>
      <c r="J11" s="36"/>
      <c r="K11" s="36"/>
      <c r="L11" s="36"/>
      <c r="M11" s="36"/>
      <c r="N11" s="36"/>
      <c r="O11" s="36"/>
      <c r="P11" s="36"/>
    </row>
    <row r="12" ht="28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>
      <c r="A13" s="52"/>
      <c r="B13" s="53" t="s">
        <v>15</v>
      </c>
      <c r="C13" s="52"/>
      <c r="D13" s="52"/>
      <c r="E13" s="52"/>
      <c r="F13" s="52"/>
      <c r="G13" s="52"/>
      <c r="H13" s="52"/>
      <c r="I13" s="52"/>
      <c r="J13" s="36"/>
      <c r="K13" s="36"/>
      <c r="L13" s="36"/>
      <c r="M13" s="36"/>
      <c r="N13" s="36"/>
      <c r="O13" s="36"/>
      <c r="P13" s="36"/>
    </row>
    <row r="14">
      <c r="A14" s="52"/>
      <c r="B14" s="54" t="s">
        <v>258</v>
      </c>
      <c r="C14" s="54" t="s">
        <v>259</v>
      </c>
      <c r="D14" s="54" t="s">
        <v>260</v>
      </c>
      <c r="E14" s="54" t="s">
        <v>261</v>
      </c>
      <c r="F14" s="54" t="s">
        <v>262</v>
      </c>
      <c r="G14" s="54" t="s">
        <v>263</v>
      </c>
      <c r="H14" s="54" t="s">
        <v>264</v>
      </c>
      <c r="I14" s="55" t="s">
        <v>255</v>
      </c>
      <c r="J14" s="36"/>
      <c r="K14" s="36"/>
      <c r="L14" s="36"/>
      <c r="M14" s="36"/>
      <c r="N14" s="36"/>
      <c r="O14" s="36"/>
      <c r="P14" s="36"/>
    </row>
    <row r="15">
      <c r="A15" s="56" t="s">
        <v>310</v>
      </c>
      <c r="B15" s="57">
        <v>182.0</v>
      </c>
      <c r="C15" s="57">
        <v>196.0</v>
      </c>
      <c r="D15" s="57">
        <v>190.0</v>
      </c>
      <c r="E15" s="57">
        <v>167.0</v>
      </c>
      <c r="F15" s="57">
        <v>187.0</v>
      </c>
      <c r="G15" s="57">
        <v>187.0</v>
      </c>
      <c r="H15" s="57">
        <v>52.0</v>
      </c>
      <c r="I15" s="58">
        <v>1161.0</v>
      </c>
      <c r="J15" s="36"/>
      <c r="K15" s="36"/>
      <c r="L15" s="36"/>
      <c r="M15" s="36"/>
      <c r="N15" s="36"/>
      <c r="O15" s="36"/>
      <c r="P15" s="36"/>
    </row>
    <row r="16" ht="28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>
      <c r="A17" s="59" t="s">
        <v>311</v>
      </c>
      <c r="J17" s="36"/>
      <c r="K17" s="36"/>
      <c r="L17" s="36"/>
      <c r="M17" s="36"/>
      <c r="N17" s="36"/>
      <c r="O17" s="36"/>
      <c r="P17" s="36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36"/>
      <c r="K18" s="36"/>
      <c r="L18" s="36"/>
      <c r="M18" s="36"/>
      <c r="N18" s="36"/>
      <c r="O18" s="36"/>
      <c r="P18" s="36"/>
    </row>
    <row r="19">
      <c r="A19" s="53" t="s">
        <v>270</v>
      </c>
      <c r="B19" s="53" t="s">
        <v>15</v>
      </c>
      <c r="C19" s="52"/>
      <c r="D19" s="52"/>
      <c r="E19" s="52"/>
      <c r="F19" s="52"/>
      <c r="G19" s="52"/>
      <c r="H19" s="52"/>
      <c r="I19" s="52"/>
      <c r="J19" s="36"/>
      <c r="K19" s="36"/>
      <c r="L19" s="36"/>
      <c r="M19" s="36"/>
      <c r="N19" s="36"/>
      <c r="O19" s="36"/>
      <c r="P19" s="36"/>
    </row>
    <row r="20">
      <c r="A20" s="61" t="s">
        <v>4</v>
      </c>
      <c r="B20" s="54" t="s">
        <v>258</v>
      </c>
      <c r="C20" s="54" t="s">
        <v>259</v>
      </c>
      <c r="D20" s="54" t="s">
        <v>260</v>
      </c>
      <c r="E20" s="54" t="s">
        <v>261</v>
      </c>
      <c r="F20" s="54" t="s">
        <v>262</v>
      </c>
      <c r="G20" s="54" t="s">
        <v>263</v>
      </c>
      <c r="H20" s="54" t="s">
        <v>264</v>
      </c>
      <c r="I20" s="55" t="s">
        <v>255</v>
      </c>
      <c r="J20" s="36"/>
      <c r="K20" s="36"/>
      <c r="L20" s="36"/>
      <c r="M20" s="36"/>
      <c r="N20" s="36"/>
      <c r="O20" s="36"/>
      <c r="P20" s="36"/>
    </row>
    <row r="21">
      <c r="A21" s="62" t="s">
        <v>28</v>
      </c>
      <c r="B21" s="63">
        <v>35.0</v>
      </c>
      <c r="C21" s="63">
        <v>23.0</v>
      </c>
      <c r="D21" s="63">
        <v>48.0</v>
      </c>
      <c r="E21" s="63">
        <v>54.0</v>
      </c>
      <c r="F21" s="63">
        <v>18.0</v>
      </c>
      <c r="G21" s="63">
        <v>54.0</v>
      </c>
      <c r="H21" s="63">
        <v>1.0</v>
      </c>
      <c r="I21" s="64">
        <v>233.0</v>
      </c>
      <c r="J21" s="36"/>
      <c r="K21" s="36"/>
      <c r="L21" s="36"/>
      <c r="M21" s="36"/>
      <c r="N21" s="36"/>
      <c r="O21" s="36"/>
      <c r="P21" s="36"/>
    </row>
    <row r="22">
      <c r="A22" s="62" t="s">
        <v>19</v>
      </c>
      <c r="B22" s="63">
        <v>22.0</v>
      </c>
      <c r="C22" s="63">
        <v>29.0</v>
      </c>
      <c r="D22" s="63">
        <v>42.0</v>
      </c>
      <c r="E22" s="63">
        <v>12.0</v>
      </c>
      <c r="F22" s="63">
        <v>93.0</v>
      </c>
      <c r="G22" s="63">
        <v>38.0</v>
      </c>
      <c r="H22" s="63">
        <v>10.0</v>
      </c>
      <c r="I22" s="64">
        <v>246.0</v>
      </c>
      <c r="J22" s="36"/>
      <c r="K22" s="36"/>
      <c r="L22" s="36"/>
      <c r="M22" s="36"/>
      <c r="N22" s="36"/>
      <c r="O22" s="36"/>
      <c r="P22" s="36"/>
    </row>
    <row r="23">
      <c r="A23" s="62" t="s">
        <v>38</v>
      </c>
      <c r="B23" s="63">
        <v>56.0</v>
      </c>
      <c r="C23" s="63">
        <v>26.0</v>
      </c>
      <c r="D23" s="63">
        <v>28.0</v>
      </c>
      <c r="E23" s="63">
        <v>47.0</v>
      </c>
      <c r="F23" s="63">
        <v>41.0</v>
      </c>
      <c r="G23" s="63">
        <v>35.0</v>
      </c>
      <c r="H23" s="63">
        <v>8.0</v>
      </c>
      <c r="I23" s="64">
        <v>241.0</v>
      </c>
      <c r="J23" s="36"/>
      <c r="K23" s="36"/>
      <c r="L23" s="36"/>
      <c r="M23" s="36"/>
      <c r="N23" s="36"/>
      <c r="O23" s="36"/>
      <c r="P23" s="36"/>
    </row>
    <row r="24">
      <c r="A24" s="62" t="s">
        <v>23</v>
      </c>
      <c r="B24" s="63">
        <v>35.0</v>
      </c>
      <c r="C24" s="63">
        <v>60.0</v>
      </c>
      <c r="D24" s="63">
        <v>25.0</v>
      </c>
      <c r="E24" s="63">
        <v>11.0</v>
      </c>
      <c r="F24" s="63">
        <v>9.0</v>
      </c>
      <c r="G24" s="63">
        <v>22.0</v>
      </c>
      <c r="H24" s="63">
        <v>31.0</v>
      </c>
      <c r="I24" s="64">
        <v>193.0</v>
      </c>
      <c r="J24" s="36"/>
      <c r="K24" s="36"/>
      <c r="L24" s="36"/>
      <c r="M24" s="36"/>
      <c r="N24" s="36"/>
      <c r="O24" s="36"/>
      <c r="P24" s="36"/>
    </row>
    <row r="25">
      <c r="A25" s="62" t="s">
        <v>32</v>
      </c>
      <c r="B25" s="57">
        <v>34.0</v>
      </c>
      <c r="C25" s="57">
        <v>58.0</v>
      </c>
      <c r="D25" s="57">
        <v>47.0</v>
      </c>
      <c r="E25" s="57">
        <v>43.0</v>
      </c>
      <c r="F25" s="57">
        <v>26.0</v>
      </c>
      <c r="G25" s="57">
        <v>38.0</v>
      </c>
      <c r="H25" s="57">
        <v>2.0</v>
      </c>
      <c r="I25" s="58">
        <v>248.0</v>
      </c>
      <c r="J25" s="36"/>
      <c r="K25" s="36"/>
      <c r="L25" s="36"/>
      <c r="M25" s="36"/>
      <c r="N25" s="36"/>
      <c r="O25" s="36"/>
      <c r="P25" s="36"/>
    </row>
    <row r="26">
      <c r="A26" s="65" t="s">
        <v>255</v>
      </c>
      <c r="B26" s="66">
        <v>182.0</v>
      </c>
      <c r="C26" s="66">
        <v>196.0</v>
      </c>
      <c r="D26" s="66">
        <v>190.0</v>
      </c>
      <c r="E26" s="66">
        <v>167.0</v>
      </c>
      <c r="F26" s="66">
        <v>187.0</v>
      </c>
      <c r="G26" s="66">
        <v>187.0</v>
      </c>
      <c r="H26" s="66">
        <v>52.0</v>
      </c>
      <c r="I26" s="66">
        <v>1161.0</v>
      </c>
      <c r="J26" s="36"/>
      <c r="K26" s="36"/>
      <c r="L26" s="36"/>
      <c r="M26" s="36"/>
      <c r="N26" s="36"/>
      <c r="O26" s="36"/>
      <c r="P26" s="36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36"/>
      <c r="K27" s="36"/>
      <c r="L27" s="36"/>
      <c r="M27" s="36"/>
      <c r="N27" s="36"/>
      <c r="O27" s="36"/>
      <c r="P27" s="36"/>
    </row>
    <row r="28">
      <c r="A28" s="59" t="s">
        <v>312</v>
      </c>
      <c r="J28" s="36"/>
      <c r="K28" s="36"/>
      <c r="L28" s="36"/>
      <c r="M28" s="36"/>
      <c r="N28" s="36"/>
      <c r="O28" s="36"/>
      <c r="P28" s="36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36"/>
      <c r="K29" s="36"/>
      <c r="L29" s="36"/>
      <c r="M29" s="36"/>
      <c r="N29" s="36"/>
      <c r="O29" s="36"/>
      <c r="P29" s="36"/>
    </row>
    <row r="30">
      <c r="A30" s="50" t="s">
        <v>313</v>
      </c>
      <c r="J30" s="36"/>
      <c r="K30" s="36"/>
      <c r="L30" s="36"/>
      <c r="M30" s="36"/>
      <c r="N30" s="36"/>
      <c r="O30" s="36"/>
      <c r="P30" s="36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36"/>
      <c r="K31" s="36"/>
      <c r="L31" s="36"/>
      <c r="M31" s="36"/>
      <c r="N31" s="36"/>
      <c r="O31" s="36"/>
      <c r="P31" s="36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36"/>
      <c r="K32" s="36"/>
      <c r="L32" s="36"/>
      <c r="M32" s="36"/>
      <c r="N32" s="36"/>
      <c r="O32" s="36"/>
      <c r="P32" s="36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36"/>
      <c r="K33" s="36"/>
      <c r="L33" s="36"/>
      <c r="M33" s="36"/>
      <c r="N33" s="36"/>
      <c r="O33" s="36"/>
      <c r="P33" s="36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36"/>
      <c r="K34" s="36"/>
      <c r="L34" s="36"/>
      <c r="M34" s="36"/>
      <c r="N34" s="36"/>
      <c r="O34" s="36"/>
      <c r="P34" s="36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36"/>
      <c r="K35" s="36"/>
      <c r="L35" s="36"/>
      <c r="M35" s="36"/>
      <c r="N35" s="36"/>
      <c r="O35" s="36"/>
      <c r="P35" s="36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36"/>
      <c r="K36" s="36"/>
      <c r="L36" s="36"/>
      <c r="M36" s="36"/>
      <c r="N36" s="36"/>
      <c r="O36" s="36"/>
      <c r="P36" s="36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36"/>
      <c r="K37" s="36"/>
      <c r="L37" s="36"/>
      <c r="M37" s="36"/>
      <c r="N37" s="36"/>
      <c r="O37" s="36"/>
      <c r="P37" s="36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36"/>
      <c r="K38" s="36"/>
      <c r="L38" s="36"/>
      <c r="M38" s="36"/>
      <c r="N38" s="36"/>
      <c r="O38" s="36"/>
      <c r="P38" s="36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36"/>
      <c r="K39" s="36"/>
      <c r="L39" s="36"/>
      <c r="M39" s="36"/>
      <c r="N39" s="36"/>
      <c r="O39" s="36"/>
      <c r="P39" s="36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36"/>
      <c r="K40" s="36"/>
      <c r="L40" s="36"/>
      <c r="M40" s="36"/>
      <c r="N40" s="36"/>
      <c r="O40" s="36"/>
      <c r="P40" s="36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36"/>
      <c r="K41" s="36"/>
      <c r="L41" s="36"/>
      <c r="M41" s="36"/>
      <c r="N41" s="36"/>
      <c r="O41" s="36"/>
      <c r="P41" s="36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36"/>
      <c r="K42" s="36"/>
      <c r="L42" s="36"/>
      <c r="M42" s="36"/>
      <c r="N42" s="36"/>
      <c r="O42" s="36"/>
      <c r="P42" s="36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36"/>
      <c r="K43" s="36"/>
      <c r="L43" s="36"/>
      <c r="M43" s="36"/>
      <c r="N43" s="36"/>
      <c r="O43" s="36"/>
      <c r="P43" s="36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36"/>
      <c r="K44" s="36"/>
      <c r="L44" s="36"/>
      <c r="M44" s="36"/>
      <c r="N44" s="36"/>
      <c r="O44" s="36"/>
      <c r="P44" s="36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36"/>
      <c r="K45" s="36"/>
      <c r="L45" s="36"/>
      <c r="M45" s="36"/>
      <c r="N45" s="36"/>
      <c r="O45" s="36"/>
      <c r="P45" s="36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36"/>
      <c r="K46" s="36"/>
      <c r="L46" s="36"/>
      <c r="M46" s="36"/>
      <c r="N46" s="36"/>
      <c r="O46" s="36"/>
      <c r="P46" s="36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36"/>
      <c r="K47" s="36"/>
      <c r="L47" s="36"/>
      <c r="M47" s="36"/>
      <c r="N47" s="36"/>
      <c r="O47" s="36"/>
      <c r="P47" s="36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36"/>
      <c r="K48" s="36"/>
      <c r="L48" s="36"/>
      <c r="M48" s="36"/>
      <c r="N48" s="36"/>
      <c r="O48" s="36"/>
      <c r="P48" s="36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36"/>
      <c r="K49" s="36"/>
      <c r="L49" s="36"/>
      <c r="M49" s="36"/>
      <c r="N49" s="36"/>
      <c r="O49" s="36"/>
      <c r="P49" s="36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36"/>
      <c r="K50" s="36"/>
      <c r="L50" s="36"/>
      <c r="M50" s="36"/>
      <c r="N50" s="36"/>
      <c r="O50" s="36"/>
      <c r="P50" s="36"/>
    </row>
    <row r="51">
      <c r="A51" s="59" t="s">
        <v>314</v>
      </c>
      <c r="J51" s="36"/>
      <c r="K51" s="36"/>
      <c r="L51" s="36"/>
      <c r="M51" s="36"/>
      <c r="N51" s="36"/>
      <c r="O51" s="36"/>
      <c r="P51" s="36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36"/>
      <c r="K52" s="36"/>
      <c r="L52" s="36"/>
      <c r="M52" s="36"/>
      <c r="N52" s="36"/>
      <c r="O52" s="36"/>
      <c r="P52" s="36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36"/>
      <c r="K53" s="36"/>
      <c r="L53" s="36"/>
      <c r="M53" s="36"/>
      <c r="N53" s="36"/>
      <c r="O53" s="36"/>
      <c r="P53" s="36"/>
    </row>
    <row r="54">
      <c r="A54" s="50" t="s">
        <v>315</v>
      </c>
      <c r="J54" s="36"/>
      <c r="K54" s="36"/>
      <c r="L54" s="36"/>
      <c r="M54" s="36"/>
      <c r="N54" s="36"/>
      <c r="O54" s="36"/>
      <c r="P54" s="36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36"/>
      <c r="K55" s="36"/>
      <c r="L55" s="36"/>
      <c r="M55" s="36"/>
      <c r="N55" s="36"/>
      <c r="O55" s="36"/>
      <c r="P55" s="36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36"/>
      <c r="K56" s="36"/>
      <c r="L56" s="36"/>
      <c r="M56" s="36"/>
      <c r="N56" s="36"/>
      <c r="O56" s="36"/>
      <c r="P56" s="36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36"/>
      <c r="K57" s="36"/>
      <c r="L57" s="36"/>
      <c r="M57" s="36"/>
      <c r="N57" s="36"/>
      <c r="O57" s="36"/>
      <c r="P57" s="36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36"/>
      <c r="K58" s="36"/>
      <c r="L58" s="36"/>
      <c r="M58" s="36"/>
      <c r="N58" s="36"/>
      <c r="O58" s="36"/>
      <c r="P58" s="36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36"/>
      <c r="K59" s="36"/>
      <c r="L59" s="36"/>
      <c r="M59" s="36"/>
      <c r="N59" s="36"/>
      <c r="O59" s="36"/>
      <c r="P59" s="36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36"/>
      <c r="K60" s="36"/>
      <c r="L60" s="36"/>
      <c r="M60" s="36"/>
      <c r="N60" s="36"/>
      <c r="O60" s="36"/>
      <c r="P60" s="36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36"/>
      <c r="K61" s="36"/>
      <c r="L61" s="36"/>
      <c r="M61" s="36"/>
      <c r="N61" s="36"/>
      <c r="O61" s="36"/>
      <c r="P61" s="36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36"/>
      <c r="K62" s="36"/>
      <c r="L62" s="36"/>
      <c r="M62" s="36"/>
      <c r="N62" s="36"/>
      <c r="O62" s="36"/>
      <c r="P62" s="36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36"/>
      <c r="K63" s="36"/>
      <c r="L63" s="36"/>
      <c r="M63" s="36"/>
      <c r="N63" s="36"/>
      <c r="O63" s="36"/>
      <c r="P63" s="36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36"/>
      <c r="K64" s="36"/>
      <c r="L64" s="36"/>
      <c r="M64" s="36"/>
      <c r="N64" s="36"/>
      <c r="O64" s="36"/>
      <c r="P64" s="36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36"/>
      <c r="K65" s="36"/>
      <c r="L65" s="36"/>
      <c r="M65" s="36"/>
      <c r="N65" s="36"/>
      <c r="O65" s="36"/>
      <c r="P65" s="36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36"/>
      <c r="K66" s="36"/>
      <c r="L66" s="36"/>
      <c r="M66" s="36"/>
      <c r="N66" s="36"/>
      <c r="O66" s="36"/>
      <c r="P66" s="36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36"/>
      <c r="K67" s="36"/>
      <c r="L67" s="36"/>
      <c r="M67" s="36"/>
      <c r="N67" s="36"/>
      <c r="O67" s="36"/>
      <c r="P67" s="36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36"/>
      <c r="K68" s="36"/>
      <c r="L68" s="36"/>
      <c r="M68" s="36"/>
      <c r="N68" s="36"/>
      <c r="O68" s="36"/>
      <c r="P68" s="36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36"/>
      <c r="K69" s="36"/>
      <c r="L69" s="36"/>
      <c r="M69" s="36"/>
      <c r="N69" s="36"/>
      <c r="O69" s="36"/>
      <c r="P69" s="36"/>
    </row>
    <row r="70">
      <c r="A70" s="51" t="s">
        <v>316</v>
      </c>
      <c r="J70" s="36"/>
      <c r="K70" s="36"/>
      <c r="L70" s="36"/>
      <c r="M70" s="36"/>
      <c r="N70" s="36"/>
      <c r="O70" s="36"/>
      <c r="P70" s="36"/>
    </row>
    <row r="71">
      <c r="A71" s="51" t="s">
        <v>317</v>
      </c>
      <c r="J71" s="36"/>
      <c r="K71" s="36"/>
      <c r="L71" s="36"/>
      <c r="M71" s="36"/>
      <c r="N71" s="36"/>
      <c r="O71" s="36"/>
      <c r="P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>
      <c r="A88" s="36" t="s">
        <v>318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>
      <c r="A90" s="50" t="s">
        <v>319</v>
      </c>
      <c r="J90" s="36"/>
      <c r="K90" s="36"/>
      <c r="L90" s="36"/>
      <c r="M90" s="36"/>
      <c r="N90" s="36"/>
      <c r="O90" s="36"/>
      <c r="P90" s="36"/>
    </row>
    <row r="91">
      <c r="A91" s="51" t="s">
        <v>320</v>
      </c>
      <c r="J91" s="36"/>
      <c r="K91" s="36"/>
      <c r="L91" s="36"/>
      <c r="M91" s="36"/>
      <c r="N91" s="36"/>
      <c r="O91" s="36"/>
      <c r="P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>
      <c r="A106" s="50" t="s">
        <v>321</v>
      </c>
      <c r="J106" s="36"/>
      <c r="K106" s="36"/>
      <c r="L106" s="36"/>
      <c r="M106" s="36"/>
      <c r="N106" s="36"/>
      <c r="O106" s="36"/>
      <c r="P106" s="36"/>
    </row>
    <row r="107">
      <c r="A107" s="51" t="s">
        <v>322</v>
      </c>
      <c r="J107" s="36"/>
      <c r="K107" s="36"/>
      <c r="L107" s="36"/>
      <c r="M107" s="36"/>
      <c r="N107" s="36"/>
      <c r="O107" s="36"/>
      <c r="P107" s="36"/>
    </row>
    <row r="108">
      <c r="A108" s="50"/>
      <c r="J108" s="36"/>
      <c r="K108" s="36"/>
      <c r="L108" s="36"/>
      <c r="M108" s="36"/>
      <c r="N108" s="36"/>
      <c r="O108" s="36"/>
      <c r="P108" s="36"/>
    </row>
    <row r="109">
      <c r="A109" s="51" t="s">
        <v>323</v>
      </c>
      <c r="J109" s="36"/>
      <c r="K109" s="36"/>
      <c r="L109" s="36"/>
      <c r="M109" s="36"/>
      <c r="N109" s="36"/>
      <c r="O109" s="36"/>
      <c r="P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</row>
    <row r="111">
      <c r="A111" s="51" t="s">
        <v>324</v>
      </c>
      <c r="J111" s="36"/>
      <c r="K111" s="36"/>
      <c r="L111" s="36"/>
      <c r="M111" s="36"/>
      <c r="N111" s="36"/>
      <c r="O111" s="36"/>
      <c r="P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</row>
    <row r="113">
      <c r="A113" s="51" t="s">
        <v>325</v>
      </c>
      <c r="J113" s="51"/>
      <c r="K113" s="36"/>
      <c r="L113" s="36"/>
      <c r="M113" s="36"/>
      <c r="N113" s="36"/>
      <c r="O113" s="36"/>
      <c r="P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>
      <c r="A124" s="51" t="s">
        <v>326</v>
      </c>
      <c r="J124" s="36"/>
      <c r="K124" s="36"/>
      <c r="L124" s="36"/>
      <c r="M124" s="36"/>
      <c r="N124" s="36"/>
      <c r="O124" s="36"/>
      <c r="P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</row>
    <row r="126">
      <c r="A126" s="50" t="s">
        <v>327</v>
      </c>
      <c r="J126" s="36"/>
      <c r="K126" s="36"/>
      <c r="L126" s="36"/>
      <c r="M126" s="36"/>
      <c r="N126" s="36"/>
      <c r="O126" s="36"/>
      <c r="P126" s="36"/>
    </row>
    <row r="127">
      <c r="A127" s="51" t="s">
        <v>328</v>
      </c>
      <c r="J127" s="51"/>
      <c r="K127" s="36"/>
      <c r="L127" s="36"/>
      <c r="M127" s="36"/>
      <c r="N127" s="36"/>
      <c r="O127" s="36"/>
      <c r="P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</row>
    <row r="129" ht="186.0" customHeight="1">
      <c r="A129" s="36"/>
      <c r="B129" s="36"/>
      <c r="C129" s="36"/>
      <c r="D129" s="36"/>
      <c r="E129" s="36"/>
      <c r="F129" s="36"/>
      <c r="G129" s="51"/>
      <c r="P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</row>
    <row r="131">
      <c r="A131" s="50" t="s">
        <v>329</v>
      </c>
      <c r="J131" s="36"/>
      <c r="K131" s="36"/>
      <c r="L131" s="36"/>
      <c r="M131" s="36"/>
      <c r="N131" s="36"/>
      <c r="O131" s="36"/>
      <c r="P131" s="36"/>
    </row>
    <row r="132">
      <c r="A132" s="51" t="s">
        <v>330</v>
      </c>
      <c r="J132" s="36"/>
      <c r="K132" s="36"/>
      <c r="L132" s="36"/>
      <c r="M132" s="36"/>
      <c r="N132" s="36"/>
      <c r="O132" s="36"/>
      <c r="P132" s="36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36"/>
      <c r="K133" s="36"/>
      <c r="L133" s="36"/>
      <c r="M133" s="36"/>
      <c r="N133" s="36"/>
      <c r="O133" s="36"/>
      <c r="P133" s="36"/>
    </row>
    <row r="134">
      <c r="C134" s="67"/>
      <c r="I134" s="67"/>
      <c r="J134" s="36"/>
      <c r="K134" s="36"/>
      <c r="L134" s="36"/>
      <c r="M134" s="36"/>
      <c r="N134" s="36"/>
      <c r="O134" s="36"/>
      <c r="P134" s="36"/>
    </row>
    <row r="135">
      <c r="C135" s="67"/>
      <c r="I135" s="67"/>
      <c r="J135" s="36"/>
      <c r="K135" s="36"/>
      <c r="L135" s="36"/>
      <c r="M135" s="36"/>
      <c r="N135" s="36"/>
      <c r="O135" s="36"/>
      <c r="P135" s="36"/>
    </row>
    <row r="136">
      <c r="C136" s="67"/>
      <c r="I136" s="67"/>
      <c r="J136" s="36"/>
      <c r="K136" s="36"/>
      <c r="L136" s="36"/>
      <c r="M136" s="36"/>
      <c r="N136" s="36"/>
      <c r="O136" s="36"/>
      <c r="P136" s="36"/>
    </row>
    <row r="137">
      <c r="C137" s="67"/>
      <c r="I137" s="67"/>
      <c r="J137" s="36"/>
      <c r="K137" s="36"/>
      <c r="L137" s="36"/>
      <c r="M137" s="36"/>
      <c r="N137" s="36"/>
      <c r="O137" s="36"/>
      <c r="P137" s="36"/>
    </row>
    <row r="138">
      <c r="C138" s="67"/>
      <c r="I138" s="67"/>
      <c r="J138" s="36"/>
      <c r="K138" s="36"/>
      <c r="L138" s="36"/>
      <c r="M138" s="36"/>
      <c r="N138" s="36"/>
      <c r="O138" s="36"/>
      <c r="P138" s="36"/>
    </row>
    <row r="139">
      <c r="C139" s="67"/>
      <c r="I139" s="67"/>
      <c r="J139" s="36"/>
      <c r="K139" s="36"/>
      <c r="L139" s="36"/>
      <c r="M139" s="36"/>
      <c r="N139" s="36"/>
      <c r="O139" s="36"/>
      <c r="P139" s="36"/>
    </row>
    <row r="140">
      <c r="C140" s="67"/>
      <c r="I140" s="67"/>
      <c r="J140" s="36"/>
      <c r="K140" s="36"/>
      <c r="L140" s="36"/>
      <c r="M140" s="36"/>
      <c r="N140" s="36"/>
      <c r="O140" s="36"/>
      <c r="P140" s="36"/>
    </row>
    <row r="141">
      <c r="C141" s="67"/>
      <c r="D141" s="67"/>
      <c r="E141" s="67"/>
      <c r="I141" s="67"/>
      <c r="J141" s="36"/>
      <c r="K141" s="36"/>
      <c r="L141" s="36"/>
      <c r="M141" s="36"/>
      <c r="N141" s="36"/>
      <c r="O141" s="36"/>
      <c r="P141" s="36"/>
    </row>
    <row r="142">
      <c r="C142" s="67"/>
      <c r="D142" s="67"/>
      <c r="E142" s="67"/>
      <c r="I142" s="67"/>
      <c r="J142" s="36"/>
      <c r="K142" s="36"/>
      <c r="L142" s="36"/>
      <c r="M142" s="36"/>
      <c r="N142" s="36"/>
      <c r="O142" s="36"/>
      <c r="P142" s="36"/>
    </row>
    <row r="143">
      <c r="C143" s="67"/>
      <c r="D143" s="67"/>
      <c r="E143" s="67"/>
      <c r="I143" s="67"/>
      <c r="J143" s="36"/>
      <c r="K143" s="36"/>
      <c r="L143" s="36"/>
      <c r="M143" s="36"/>
      <c r="N143" s="36"/>
      <c r="O143" s="36"/>
      <c r="P143" s="36"/>
    </row>
    <row r="144">
      <c r="C144" s="67"/>
      <c r="D144" s="67"/>
      <c r="E144" s="67"/>
      <c r="I144" s="67"/>
      <c r="J144" s="36"/>
      <c r="K144" s="36"/>
      <c r="L144" s="36"/>
      <c r="M144" s="36"/>
      <c r="N144" s="36"/>
      <c r="O144" s="36"/>
      <c r="P144" s="36"/>
    </row>
    <row r="145">
      <c r="C145" s="67"/>
      <c r="D145" s="67"/>
      <c r="E145" s="67"/>
      <c r="I145" s="67"/>
      <c r="J145" s="36"/>
      <c r="K145" s="36"/>
      <c r="L145" s="36"/>
      <c r="M145" s="36"/>
      <c r="N145" s="36"/>
      <c r="O145" s="36"/>
      <c r="P145" s="36"/>
    </row>
    <row r="146">
      <c r="C146" s="67"/>
      <c r="D146" s="67"/>
      <c r="E146" s="67"/>
      <c r="I146" s="67"/>
      <c r="J146" s="36"/>
      <c r="K146" s="36"/>
      <c r="L146" s="36"/>
      <c r="M146" s="36"/>
      <c r="N146" s="36"/>
      <c r="O146" s="36"/>
      <c r="P146" s="36"/>
    </row>
    <row r="147">
      <c r="C147" s="67"/>
      <c r="D147" s="67"/>
      <c r="E147" s="67"/>
      <c r="I147" s="67"/>
      <c r="J147" s="36"/>
      <c r="K147" s="36"/>
      <c r="L147" s="36"/>
      <c r="M147" s="36"/>
      <c r="N147" s="36"/>
      <c r="O147" s="36"/>
      <c r="P147" s="36"/>
    </row>
    <row r="148">
      <c r="C148" s="67"/>
      <c r="D148" s="67"/>
      <c r="E148" s="67"/>
      <c r="I148" s="67"/>
      <c r="J148" s="36"/>
      <c r="K148" s="36"/>
      <c r="L148" s="36"/>
      <c r="M148" s="36"/>
      <c r="N148" s="36"/>
      <c r="O148" s="36"/>
      <c r="P148" s="36"/>
    </row>
    <row r="149">
      <c r="C149" s="67"/>
      <c r="D149" s="67"/>
      <c r="E149" s="67"/>
      <c r="I149" s="67"/>
      <c r="J149" s="36"/>
      <c r="K149" s="36"/>
      <c r="L149" s="36"/>
      <c r="M149" s="36"/>
      <c r="N149" s="36"/>
      <c r="O149" s="36"/>
      <c r="P149" s="36"/>
    </row>
    <row r="150">
      <c r="C150" s="67"/>
      <c r="D150" s="67"/>
      <c r="E150" s="67"/>
      <c r="I150" s="67"/>
      <c r="J150" s="36"/>
      <c r="K150" s="36"/>
      <c r="L150" s="36"/>
      <c r="M150" s="36"/>
      <c r="N150" s="36"/>
      <c r="O150" s="36"/>
      <c r="P150" s="36"/>
    </row>
    <row r="151">
      <c r="C151" s="67"/>
      <c r="D151" s="67"/>
      <c r="E151" s="67"/>
      <c r="I151" s="67"/>
      <c r="J151" s="36"/>
      <c r="K151" s="36"/>
      <c r="L151" s="36"/>
      <c r="M151" s="36"/>
      <c r="N151" s="36"/>
      <c r="O151" s="36"/>
      <c r="P151" s="36"/>
    </row>
    <row r="152">
      <c r="C152" s="67"/>
      <c r="D152" s="67"/>
      <c r="E152" s="67"/>
      <c r="I152" s="67"/>
      <c r="J152" s="36"/>
      <c r="K152" s="36"/>
      <c r="L152" s="36"/>
      <c r="M152" s="36"/>
      <c r="N152" s="36"/>
      <c r="O152" s="36"/>
      <c r="P152" s="36"/>
    </row>
    <row r="153">
      <c r="C153" s="67"/>
      <c r="D153" s="67"/>
      <c r="E153" s="67"/>
      <c r="I153" s="67"/>
      <c r="J153" s="36"/>
      <c r="K153" s="36"/>
      <c r="L153" s="36"/>
      <c r="M153" s="36"/>
      <c r="N153" s="36"/>
      <c r="O153" s="36"/>
      <c r="P153" s="36"/>
    </row>
    <row r="154">
      <c r="C154" s="67"/>
      <c r="D154" s="67"/>
      <c r="E154" s="67"/>
      <c r="I154" s="67"/>
      <c r="J154" s="36"/>
      <c r="K154" s="36"/>
      <c r="L154" s="36"/>
      <c r="M154" s="36"/>
      <c r="N154" s="36"/>
      <c r="O154" s="36"/>
      <c r="P154" s="36"/>
    </row>
    <row r="155">
      <c r="C155" s="67"/>
      <c r="D155" s="67"/>
      <c r="E155" s="67"/>
      <c r="I155" s="67"/>
      <c r="J155" s="36"/>
      <c r="K155" s="36"/>
      <c r="L155" s="36"/>
      <c r="M155" s="36"/>
      <c r="N155" s="36"/>
      <c r="O155" s="36"/>
      <c r="P155" s="36"/>
    </row>
    <row r="156">
      <c r="C156" s="67"/>
      <c r="D156" s="67"/>
      <c r="E156" s="67"/>
      <c r="I156" s="67"/>
      <c r="J156" s="36"/>
      <c r="K156" s="36"/>
      <c r="L156" s="36"/>
      <c r="M156" s="36"/>
      <c r="N156" s="36"/>
      <c r="O156" s="36"/>
      <c r="P156" s="36"/>
    </row>
    <row r="157">
      <c r="C157" s="67"/>
      <c r="D157" s="67"/>
      <c r="E157" s="67"/>
      <c r="I157" s="67"/>
      <c r="J157" s="36"/>
      <c r="K157" s="36"/>
      <c r="L157" s="36"/>
      <c r="M157" s="36"/>
      <c r="N157" s="36"/>
      <c r="O157" s="36"/>
      <c r="P157" s="36"/>
    </row>
    <row r="158">
      <c r="C158" s="67"/>
      <c r="D158" s="67"/>
      <c r="E158" s="67"/>
      <c r="I158" s="67"/>
      <c r="J158" s="36"/>
      <c r="K158" s="36"/>
      <c r="L158" s="36"/>
      <c r="M158" s="36"/>
      <c r="N158" s="36"/>
      <c r="O158" s="36"/>
      <c r="P158" s="36"/>
    </row>
    <row r="159">
      <c r="C159" s="67"/>
      <c r="D159" s="67"/>
      <c r="E159" s="67"/>
      <c r="I159" s="67"/>
      <c r="J159" s="36"/>
      <c r="K159" s="36"/>
      <c r="L159" s="36"/>
      <c r="M159" s="36"/>
      <c r="N159" s="36"/>
      <c r="O159" s="36"/>
      <c r="P159" s="36"/>
    </row>
    <row r="160">
      <c r="C160" s="67"/>
      <c r="D160" s="67"/>
      <c r="E160" s="67"/>
      <c r="I160" s="67"/>
      <c r="J160" s="36"/>
      <c r="K160" s="36"/>
      <c r="L160" s="36"/>
      <c r="M160" s="36"/>
      <c r="N160" s="36"/>
      <c r="O160" s="36"/>
      <c r="P160" s="36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36"/>
      <c r="K161" s="36"/>
      <c r="L161" s="36"/>
      <c r="M161" s="36"/>
      <c r="N161" s="36"/>
      <c r="O161" s="36"/>
      <c r="P161" s="36"/>
    </row>
    <row r="162">
      <c r="A162" s="51" t="s">
        <v>332</v>
      </c>
      <c r="J162" s="51"/>
      <c r="K162" s="36"/>
      <c r="L162" s="36"/>
      <c r="M162" s="36"/>
      <c r="N162" s="36"/>
      <c r="O162" s="36"/>
      <c r="P162" s="36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36"/>
      <c r="K163" s="36"/>
      <c r="L163" s="36"/>
      <c r="M163" s="36"/>
      <c r="N163" s="36"/>
      <c r="O163" s="36"/>
      <c r="P163" s="36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36"/>
      <c r="K164" s="36"/>
      <c r="L164" s="36"/>
      <c r="M164" s="36"/>
      <c r="N164" s="36"/>
      <c r="O164" s="36"/>
      <c r="P164" s="36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36"/>
      <c r="K165" s="36"/>
      <c r="L165" s="36"/>
      <c r="M165" s="36"/>
      <c r="N165" s="36"/>
      <c r="O165" s="36"/>
      <c r="P165" s="36"/>
    </row>
    <row r="166">
      <c r="A166" s="67" t="s">
        <v>333</v>
      </c>
      <c r="J166" s="36"/>
      <c r="K166" s="36"/>
      <c r="L166" s="36"/>
      <c r="M166" s="36"/>
      <c r="N166" s="36"/>
      <c r="O166" s="36"/>
      <c r="P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</row>
    <row r="168">
      <c r="A168" s="51" t="s">
        <v>334</v>
      </c>
      <c r="J168" s="36"/>
      <c r="K168" s="36"/>
      <c r="L168" s="36"/>
      <c r="M168" s="36"/>
      <c r="N168" s="36"/>
      <c r="O168" s="36"/>
      <c r="P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</row>
    <row r="170">
      <c r="A170" s="51" t="s">
        <v>335</v>
      </c>
      <c r="J170" s="36"/>
      <c r="K170" s="36"/>
      <c r="L170" s="36"/>
      <c r="M170" s="36"/>
      <c r="N170" s="36"/>
      <c r="O170" s="36"/>
      <c r="P170" s="36"/>
    </row>
    <row r="171">
      <c r="A171" s="51" t="s">
        <v>336</v>
      </c>
      <c r="J171" s="36"/>
      <c r="K171" s="36"/>
      <c r="L171" s="36"/>
      <c r="M171" s="36"/>
      <c r="N171" s="36"/>
      <c r="O171" s="36"/>
      <c r="P171" s="36"/>
    </row>
    <row r="172">
      <c r="A172" s="51" t="s">
        <v>337</v>
      </c>
      <c r="J172" s="36"/>
      <c r="K172" s="36"/>
      <c r="L172" s="36"/>
      <c r="M172" s="36"/>
      <c r="N172" s="36"/>
      <c r="O172" s="36"/>
      <c r="P172" s="36"/>
    </row>
    <row r="173">
      <c r="A173" s="51" t="s">
        <v>338</v>
      </c>
      <c r="J173" s="36"/>
      <c r="K173" s="36"/>
      <c r="L173" s="36"/>
      <c r="M173" s="36"/>
      <c r="N173" s="36"/>
      <c r="O173" s="36"/>
      <c r="P173" s="36"/>
    </row>
    <row r="174">
      <c r="A174" s="51" t="s">
        <v>339</v>
      </c>
      <c r="J174" s="36"/>
      <c r="K174" s="36"/>
      <c r="L174" s="36"/>
      <c r="M174" s="36"/>
      <c r="N174" s="36"/>
      <c r="O174" s="36"/>
      <c r="P174" s="36"/>
    </row>
  </sheetData>
  <mergeCells count="34">
    <mergeCell ref="A168:I168"/>
    <mergeCell ref="A170:I170"/>
    <mergeCell ref="A131:I131"/>
    <mergeCell ref="A132:I132"/>
    <mergeCell ref="A113:I113"/>
    <mergeCell ref="A124:I124"/>
    <mergeCell ref="A166:I166"/>
    <mergeCell ref="A109:I109"/>
    <mergeCell ref="A111:I111"/>
    <mergeCell ref="A174:I174"/>
    <mergeCell ref="A173:I173"/>
    <mergeCell ref="A108:I108"/>
    <mergeCell ref="A162:I162"/>
    <mergeCell ref="A7:I7"/>
    <mergeCell ref="A11:I11"/>
    <mergeCell ref="A70:I70"/>
    <mergeCell ref="A71:I71"/>
    <mergeCell ref="A171:I171"/>
    <mergeCell ref="A172:I172"/>
    <mergeCell ref="A107:I107"/>
    <mergeCell ref="A106:I106"/>
    <mergeCell ref="A127:I127"/>
    <mergeCell ref="A126:I126"/>
    <mergeCell ref="G129:O129"/>
    <mergeCell ref="A28:I28"/>
    <mergeCell ref="A30:I30"/>
    <mergeCell ref="A91:I91"/>
    <mergeCell ref="A54:I54"/>
    <mergeCell ref="A90:I90"/>
    <mergeCell ref="A2:I2"/>
    <mergeCell ref="A4:I4"/>
    <mergeCell ref="A6:I6"/>
    <mergeCell ref="A17:I17"/>
    <mergeCell ref="A51:I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